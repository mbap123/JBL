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private\2022_File\"/>
    </mc:Choice>
  </mc:AlternateContent>
  <xr:revisionPtr revIDLastSave="0" documentId="13_ncr:1_{DCCD5C22-5A90-4489-9BE0-707413878F4F}" xr6:coauthVersionLast="36" xr6:coauthVersionMax="36" xr10:uidLastSave="{00000000-0000-0000-0000-000000000000}"/>
  <bookViews>
    <workbookView xWindow="0" yWindow="0" windowWidth="28140" windowHeight="13035" xr2:uid="{00000000-000D-0000-FFFF-FFFF00000000}"/>
  </bookViews>
  <sheets>
    <sheet name="烟灰柱1" sheetId="44" r:id="rId1"/>
    <sheet name="0" sheetId="40" r:id="rId2"/>
    <sheet name="词表" sheetId="4" r:id="rId3"/>
    <sheet name="词表总" sheetId="5" r:id="rId4"/>
    <sheet name="周期单" sheetId="6" r:id="rId5"/>
  </sheets>
  <definedNames>
    <definedName name="_xlnm._FilterDatabase" localSheetId="1" hidden="1">'0'!$B$1:$B$5</definedName>
    <definedName name="_xlnm._FilterDatabase" localSheetId="0" hidden="1">烟灰柱1!$B$1:$B$5</definedName>
  </definedNames>
  <calcPr calcId="191029"/>
</workbook>
</file>

<file path=xl/calcChain.xml><?xml version="1.0" encoding="utf-8"?>
<calcChain xmlns="http://schemas.openxmlformats.org/spreadsheetml/2006/main">
  <c r="G4" i="44" l="1"/>
  <c r="J2" i="44"/>
  <c r="G3" i="44" s="1"/>
  <c r="G1" i="44"/>
  <c r="C6" i="44" l="1"/>
  <c r="D9" i="44"/>
  <c r="D7" i="44"/>
  <c r="D1" i="44"/>
  <c r="D10" i="44"/>
  <c r="D2" i="44"/>
  <c r="C5" i="44"/>
  <c r="C3" i="44"/>
  <c r="H3" i="44"/>
  <c r="C1" i="44" s="1"/>
  <c r="I3" i="44"/>
  <c r="D5" i="44" s="1"/>
  <c r="C7" i="44" l="1"/>
  <c r="D3" i="44"/>
  <c r="H4" i="44"/>
  <c r="C10" i="44"/>
  <c r="C9" i="44"/>
  <c r="D8" i="44"/>
  <c r="I4" i="44" s="1"/>
  <c r="C4" i="44"/>
  <c r="J4" i="44" l="1"/>
  <c r="A2" i="40" l="1"/>
  <c r="A3" i="40"/>
  <c r="A4" i="40"/>
  <c r="A5" i="40"/>
  <c r="A6" i="40"/>
  <c r="A7" i="40"/>
  <c r="A8" i="40"/>
  <c r="A9" i="40"/>
  <c r="A10" i="40"/>
  <c r="G1" i="40" l="1"/>
  <c r="G4" i="40" l="1"/>
  <c r="J2" i="40"/>
  <c r="I3" i="40" s="1"/>
  <c r="A1" i="40"/>
  <c r="G3" i="40" l="1"/>
  <c r="H3" i="40"/>
  <c r="C2" i="40" l="1"/>
  <c r="D2" i="40"/>
  <c r="C5" i="40"/>
  <c r="D6" i="40"/>
  <c r="C9" i="40"/>
  <c r="D10" i="40"/>
  <c r="C4" i="40"/>
  <c r="D5" i="40"/>
  <c r="C8" i="40"/>
  <c r="D9" i="40"/>
  <c r="C3" i="40"/>
  <c r="D4" i="40"/>
  <c r="C7" i="40"/>
  <c r="D8" i="40"/>
  <c r="D3" i="40"/>
  <c r="C6" i="40"/>
  <c r="D7" i="40"/>
  <c r="C10" i="40"/>
  <c r="C1" i="40"/>
  <c r="D1" i="40"/>
  <c r="H4" i="40" l="1"/>
  <c r="I4" i="40"/>
  <c r="J4" i="40" l="1"/>
</calcChain>
</file>

<file path=xl/sharedStrings.xml><?xml version="1.0" encoding="utf-8"?>
<sst xmlns="http://schemas.openxmlformats.org/spreadsheetml/2006/main" count="1641" uniqueCount="614">
  <si>
    <t>细带水桶1</t>
  </si>
  <si>
    <t>细带水桶2</t>
  </si>
  <si>
    <t>细带水桶3</t>
  </si>
  <si>
    <t>细带水桶6</t>
  </si>
  <si>
    <t>细带水桶7</t>
  </si>
  <si>
    <t>https://item.taobao.com/item.htm?spm=a1z10.3-c.w4002-17834690600.12.338e6b98hvbULS&amp;id=673341318398</t>
  </si>
  <si>
    <t>https://item.taobao.com/item.htm?spm=a1z10.3-c.w4002-17834690600.16.338e6b98hvbULS&amp;id=597829998086</t>
  </si>
  <si>
    <t>https://item.taobao.com/item.htm?spm=a1z10.1-c.w4004-17834690587.14.33ce394a9xNdwk&amp;id=678579155854</t>
  </si>
  <si>
    <t>圆水桶1</t>
  </si>
  <si>
    <t>https://item.taobao.com/item.htm?spm=a1z10.1-c.w4004-17834690587.18.33ce394a9xNdwk&amp;id=678580131525</t>
  </si>
  <si>
    <t>托特包1</t>
  </si>
  <si>
    <t>soft1</t>
  </si>
  <si>
    <t>铂金包1</t>
  </si>
  <si>
    <t>马鞍包1</t>
  </si>
  <si>
    <t>https://item.taobao.com/item.htm?spm=a1z10.3-c.w4002-18173054067.10.1f526b98dNtDnm&amp;id=684073724835</t>
  </si>
  <si>
    <t>herbag1</t>
  </si>
  <si>
    <t>H饺子包1</t>
  </si>
  <si>
    <t>https://item.taobao.com/item.htm?spm=a1z10.3-c.w4002-18173054067.12.1f526b98dNtDnm&amp;id=683850108677</t>
  </si>
  <si>
    <t>菜篮子1</t>
  </si>
  <si>
    <t>琳迪金扣1</t>
  </si>
  <si>
    <t>琳迪银扣1</t>
  </si>
  <si>
    <t>琳迪mini1</t>
  </si>
  <si>
    <t>花园包1</t>
  </si>
  <si>
    <t>帆布花园1</t>
  </si>
  <si>
    <t>横款铂金1</t>
  </si>
  <si>
    <t>马鞍包2</t>
  </si>
  <si>
    <t>马鞍包3</t>
  </si>
  <si>
    <t>马鞍包4</t>
  </si>
  <si>
    <t>马鞍包5</t>
  </si>
  <si>
    <t>马鞍包6</t>
  </si>
  <si>
    <t>马鞍包7</t>
  </si>
  <si>
    <t>H饺子包2</t>
  </si>
  <si>
    <t>H饺子包3</t>
  </si>
  <si>
    <t>H饺子包4</t>
  </si>
  <si>
    <t>H饺子包5</t>
  </si>
  <si>
    <t>H饺子包6</t>
  </si>
  <si>
    <t>H饺子包7</t>
  </si>
  <si>
    <t>水桶包</t>
  </si>
  <si>
    <t>水桶包女</t>
  </si>
  <si>
    <t>斜挎水桶包</t>
  </si>
  <si>
    <t>水桶包女真皮</t>
  </si>
  <si>
    <t>真皮水桶包</t>
  </si>
  <si>
    <t>凯荔1</t>
  </si>
  <si>
    <t>单肩水桶包</t>
  </si>
  <si>
    <t>凯一1</t>
  </si>
  <si>
    <t>水桶包女斜挎包</t>
  </si>
  <si>
    <t>凯二1</t>
  </si>
  <si>
    <t>大容量水桶包</t>
  </si>
  <si>
    <t>女包水桶包</t>
  </si>
  <si>
    <t>头层牛皮水桶包</t>
  </si>
  <si>
    <t>牛皮水桶包</t>
  </si>
  <si>
    <t>水桶包真皮</t>
  </si>
  <si>
    <t>水桶包斜挎包</t>
  </si>
  <si>
    <t>水桶包女大容量</t>
  </si>
  <si>
    <t>法式水桶包</t>
  </si>
  <si>
    <t>女包 水桶包</t>
  </si>
  <si>
    <t>托特水桶包</t>
  </si>
  <si>
    <t>简约水桶包</t>
  </si>
  <si>
    <t>白色水桶包</t>
  </si>
  <si>
    <t>真皮托特包</t>
  </si>
  <si>
    <t>托特包女高级感</t>
  </si>
  <si>
    <t>大容量托特包女</t>
  </si>
  <si>
    <t>牛皮托特包</t>
  </si>
  <si>
    <t>托特包女夏季</t>
  </si>
  <si>
    <t>托特包大容量</t>
  </si>
  <si>
    <t>软皮托特包</t>
  </si>
  <si>
    <t>女包 托特包</t>
  </si>
  <si>
    <t>大包包托特包</t>
  </si>
  <si>
    <t>女托特包</t>
  </si>
  <si>
    <t>女包托特包</t>
  </si>
  <si>
    <t>单肩托特包</t>
  </si>
  <si>
    <t>细带水桶4</t>
  </si>
  <si>
    <t>细带水桶5</t>
  </si>
  <si>
    <t>新款真皮女包</t>
  </si>
  <si>
    <t>女包真皮</t>
  </si>
  <si>
    <t>细带水桶8</t>
  </si>
  <si>
    <t>女包2022新款真皮</t>
  </si>
  <si>
    <t>细带水桶9</t>
  </si>
  <si>
    <t>托特包女</t>
  </si>
  <si>
    <t>细带水桶10</t>
  </si>
  <si>
    <t>托特包2022新款</t>
  </si>
  <si>
    <t>细带水桶11</t>
  </si>
  <si>
    <t>圆水桶2</t>
  </si>
  <si>
    <t>菜篮子水桶包</t>
  </si>
  <si>
    <t>圆水桶3</t>
  </si>
  <si>
    <t>圆水桶4</t>
  </si>
  <si>
    <t>真皮女包头层牛皮</t>
  </si>
  <si>
    <t>圆水桶5</t>
  </si>
  <si>
    <t>真皮女包 斜挎包</t>
  </si>
  <si>
    <t>圆水桶6</t>
  </si>
  <si>
    <t>圆水桶7</t>
  </si>
  <si>
    <t>圆水桶8</t>
  </si>
  <si>
    <t>圆水桶9</t>
  </si>
  <si>
    <t>水桶包女2022新款</t>
  </si>
  <si>
    <t>圆水桶10</t>
  </si>
  <si>
    <t>单肩包斜挎包女</t>
  </si>
  <si>
    <t>托特包2</t>
  </si>
  <si>
    <t>托特包3</t>
  </si>
  <si>
    <t>托特包4</t>
  </si>
  <si>
    <t>托特包5</t>
  </si>
  <si>
    <t>托特包6</t>
  </si>
  <si>
    <t>托特包7</t>
  </si>
  <si>
    <t>托特包8</t>
  </si>
  <si>
    <t>托特包9</t>
  </si>
  <si>
    <t>托特包真皮</t>
  </si>
  <si>
    <t>托特包10</t>
  </si>
  <si>
    <t>托特包 软皮</t>
  </si>
  <si>
    <t>soft2</t>
  </si>
  <si>
    <t>soft3</t>
  </si>
  <si>
    <t>soft4</t>
  </si>
  <si>
    <t>soft5</t>
  </si>
  <si>
    <t>单肩真皮大包</t>
  </si>
  <si>
    <t>soft6</t>
  </si>
  <si>
    <t>斜挎单肩包女</t>
  </si>
  <si>
    <t>soft7</t>
  </si>
  <si>
    <t>soft8</t>
  </si>
  <si>
    <t>包包女2022新款大容量</t>
  </si>
  <si>
    <t>soft9</t>
  </si>
  <si>
    <t>大容量女士包包</t>
  </si>
  <si>
    <t>soft10</t>
  </si>
  <si>
    <t>包包大容量高级感</t>
  </si>
  <si>
    <t>铂金包女</t>
  </si>
  <si>
    <t>铂金包2</t>
  </si>
  <si>
    <t>铂金包3</t>
  </si>
  <si>
    <t>铂金包4</t>
  </si>
  <si>
    <t>铂金包5</t>
  </si>
  <si>
    <t>牛皮女包</t>
  </si>
  <si>
    <t>铂金包6</t>
  </si>
  <si>
    <t>头层牛皮女包</t>
  </si>
  <si>
    <t>铂金包7</t>
  </si>
  <si>
    <t>铂金包8</t>
  </si>
  <si>
    <t>铂金包9</t>
  </si>
  <si>
    <t>单肩包女斜挎包</t>
  </si>
  <si>
    <t>铂金包10</t>
  </si>
  <si>
    <t>斜挎包女真皮</t>
  </si>
  <si>
    <t>铂金包11</t>
  </si>
  <si>
    <t>真皮手提包女</t>
  </si>
  <si>
    <t>铂金包12</t>
  </si>
  <si>
    <t>手提包女 真皮</t>
  </si>
  <si>
    <t>铂金包13</t>
  </si>
  <si>
    <t>大容量手提包女</t>
  </si>
  <si>
    <t>凯莉包女</t>
  </si>
  <si>
    <t>凯莉包女包</t>
  </si>
  <si>
    <t>凯莉包2022新款</t>
  </si>
  <si>
    <t>马鞍包8</t>
  </si>
  <si>
    <t>马鞍包9</t>
  </si>
  <si>
    <t>马鞍包10</t>
  </si>
  <si>
    <t>女包头层牛皮</t>
  </si>
  <si>
    <t>herbag2</t>
  </si>
  <si>
    <t>帆布托特包女</t>
  </si>
  <si>
    <t>herbag3</t>
  </si>
  <si>
    <t>托特包女大容量通勤</t>
  </si>
  <si>
    <t>herbag4</t>
  </si>
  <si>
    <t>herbag5</t>
  </si>
  <si>
    <t>herbag6</t>
  </si>
  <si>
    <t>herbag7</t>
  </si>
  <si>
    <t>herbag8</t>
  </si>
  <si>
    <t>herbag9</t>
  </si>
  <si>
    <t>herbag10</t>
  </si>
  <si>
    <t>斜挎包女 小众</t>
  </si>
  <si>
    <t>斜挎包女 小方包</t>
  </si>
  <si>
    <t>H饺子包8</t>
  </si>
  <si>
    <t>H饺子包9</t>
  </si>
  <si>
    <t>H饺子包10</t>
  </si>
  <si>
    <t>凯莉包</t>
  </si>
  <si>
    <t>凯荔2</t>
  </si>
  <si>
    <t>凯荔3</t>
  </si>
  <si>
    <t>凯荔4</t>
  </si>
  <si>
    <t>凯荔5</t>
  </si>
  <si>
    <t>二代凯莉包</t>
  </si>
  <si>
    <t>凯荔6</t>
  </si>
  <si>
    <t>真皮凯莉包</t>
  </si>
  <si>
    <t>凯荔7</t>
  </si>
  <si>
    <t>凯荔8</t>
  </si>
  <si>
    <t>凯荔9</t>
  </si>
  <si>
    <t>手提包女2022新款</t>
  </si>
  <si>
    <t>凯荔10</t>
  </si>
  <si>
    <t>手提包女高级感</t>
  </si>
  <si>
    <t>凯一2</t>
  </si>
  <si>
    <t>凯一3</t>
  </si>
  <si>
    <t>凯一4</t>
  </si>
  <si>
    <t>凯一5</t>
  </si>
  <si>
    <t>一代凯莉包</t>
  </si>
  <si>
    <t>凯一6</t>
  </si>
  <si>
    <t>凯一7</t>
  </si>
  <si>
    <t>凯一8</t>
  </si>
  <si>
    <t>女包手提包</t>
  </si>
  <si>
    <t>凯一9</t>
  </si>
  <si>
    <t>凯一10</t>
  </si>
  <si>
    <t>凯二2</t>
  </si>
  <si>
    <t>凯二3</t>
  </si>
  <si>
    <t>凯二4</t>
  </si>
  <si>
    <t>凯莉包mini二代</t>
  </si>
  <si>
    <t>凯二5</t>
  </si>
  <si>
    <t>凯二6</t>
  </si>
  <si>
    <t>小凯莉包</t>
  </si>
  <si>
    <t>凯二7</t>
  </si>
  <si>
    <t>mini凯莉包</t>
  </si>
  <si>
    <t>凯二8</t>
  </si>
  <si>
    <t>凯莉包mini</t>
  </si>
  <si>
    <t>凯二9</t>
  </si>
  <si>
    <t>迷你凯莉包</t>
  </si>
  <si>
    <t>凯二10</t>
  </si>
  <si>
    <t>凯二11</t>
  </si>
  <si>
    <t>凯二12</t>
  </si>
  <si>
    <t>凯二13</t>
  </si>
  <si>
    <t>菜篮子2</t>
  </si>
  <si>
    <t>菜篮子3</t>
  </si>
  <si>
    <t>菜篮子4</t>
  </si>
  <si>
    <t>菜篮子5</t>
  </si>
  <si>
    <t>菜篮子6</t>
  </si>
  <si>
    <t>菜篮子7</t>
  </si>
  <si>
    <t>菜篮子8</t>
  </si>
  <si>
    <t>菜篮子9</t>
  </si>
  <si>
    <t>菜篮子10</t>
  </si>
  <si>
    <t>菜篮子11</t>
  </si>
  <si>
    <t>黑色水桶包</t>
  </si>
  <si>
    <t>菜篮子12</t>
  </si>
  <si>
    <t>菜篮子13</t>
  </si>
  <si>
    <t>菜篮子14</t>
  </si>
  <si>
    <t>菜篮子15</t>
  </si>
  <si>
    <t>琳迪金扣2</t>
  </si>
  <si>
    <t>琳迪金扣3</t>
  </si>
  <si>
    <t>琳迪金扣4</t>
  </si>
  <si>
    <t>琳迪金扣5</t>
  </si>
  <si>
    <t>琳迪金扣6</t>
  </si>
  <si>
    <t>琳迪银扣2</t>
  </si>
  <si>
    <t>琳迪银扣3</t>
  </si>
  <si>
    <t>琳迪银扣4</t>
  </si>
  <si>
    <t>琳迪银扣5</t>
  </si>
  <si>
    <t>琳迪银扣6</t>
  </si>
  <si>
    <t>琳迪mini2</t>
  </si>
  <si>
    <t>琳迪mini3</t>
  </si>
  <si>
    <t>琳迪mini4</t>
  </si>
  <si>
    <t>琳迪mini5</t>
  </si>
  <si>
    <t>琳迪mini6</t>
  </si>
  <si>
    <t>花园包女</t>
  </si>
  <si>
    <t>花园包2</t>
  </si>
  <si>
    <t>大容量花园包</t>
  </si>
  <si>
    <t>花园包3</t>
  </si>
  <si>
    <t>荔枝纹花园包</t>
  </si>
  <si>
    <t>花园包4</t>
  </si>
  <si>
    <t>大容量托特包</t>
  </si>
  <si>
    <t>花园包5</t>
  </si>
  <si>
    <t>托特包水桶包</t>
  </si>
  <si>
    <t>花园包6</t>
  </si>
  <si>
    <t>单肩购物袋水桶包</t>
  </si>
  <si>
    <t>花园包女包</t>
  </si>
  <si>
    <t>帆布花园2</t>
  </si>
  <si>
    <t>帆布花园3</t>
  </si>
  <si>
    <t>帆布花园4</t>
  </si>
  <si>
    <t>帆布花园5</t>
  </si>
  <si>
    <t>帆布花园6</t>
  </si>
  <si>
    <t>帆布花园7</t>
  </si>
  <si>
    <t>真皮女包</t>
  </si>
  <si>
    <t>帆布花园8</t>
  </si>
  <si>
    <t>真皮女包斜挎包</t>
  </si>
  <si>
    <t>帆布花园9</t>
  </si>
  <si>
    <t>真皮女包2022新款</t>
  </si>
  <si>
    <t>帆布花园10</t>
  </si>
  <si>
    <t>帆布花园11</t>
  </si>
  <si>
    <t>横款铂金2</t>
  </si>
  <si>
    <t>横款铂金3</t>
  </si>
  <si>
    <t>横款铂金4</t>
  </si>
  <si>
    <t>横款铂金5</t>
  </si>
  <si>
    <t>横款铂金6</t>
  </si>
  <si>
    <t>横款铂金7</t>
  </si>
  <si>
    <t>横款铂金8</t>
  </si>
  <si>
    <t>横款铂金9</t>
  </si>
  <si>
    <t>横款铂金10</t>
  </si>
  <si>
    <t>双层</t>
  </si>
  <si>
    <t>小水</t>
  </si>
  <si>
    <t>菜篮包</t>
  </si>
  <si>
    <t>帆布花园包</t>
  </si>
  <si>
    <t>琳迪包金扣</t>
  </si>
  <si>
    <t>琳迪包银扣</t>
  </si>
  <si>
    <t>琳迪mini</t>
  </si>
  <si>
    <t>细带</t>
  </si>
  <si>
    <t>固提</t>
  </si>
  <si>
    <t>铂金</t>
  </si>
  <si>
    <t>横款铂金</t>
  </si>
  <si>
    <t>soft16</t>
  </si>
  <si>
    <t>托特饺子包</t>
  </si>
  <si>
    <t>凯一</t>
  </si>
  <si>
    <t>凯二</t>
  </si>
  <si>
    <t>凯荔</t>
  </si>
  <si>
    <t>花园包</t>
  </si>
  <si>
    <t>帆布花园</t>
  </si>
  <si>
    <t>https://item.taobao.com/item.htm?spm=a1z10.1-c.w4004-17834690587.4.33ce65c8F4evq6&amp;id=627178283054</t>
  </si>
  <si>
    <t>https://item.taobao.com/item.htm?spm=a1z10.3-c.w4002-17834690600.10.60686b98clSIaU&amp;id=597553290396</t>
  </si>
  <si>
    <t>https://item.taobao.com/item.htm?spm=a1z10.3-c.w4002-17834690600.11.39e96b98CfRLKw&amp;id=626661397195</t>
  </si>
  <si>
    <t>菜篮子女包</t>
  </si>
  <si>
    <t>铂金包</t>
  </si>
  <si>
    <t>托特包</t>
  </si>
  <si>
    <t>琳迪包</t>
  </si>
  <si>
    <t>托特包女大容量</t>
  </si>
  <si>
    <t>包包女斜挎包</t>
  </si>
  <si>
    <t>菜篮包女</t>
  </si>
  <si>
    <t>宽带斜挎包女</t>
  </si>
  <si>
    <t>真皮斜挎包女</t>
  </si>
  <si>
    <t>tb水桶包</t>
  </si>
  <si>
    <t>手提托特包</t>
  </si>
  <si>
    <t>手提水桶包</t>
  </si>
  <si>
    <t>手提包女大容量</t>
  </si>
  <si>
    <t>大号托特包</t>
  </si>
  <si>
    <t>通勤水桶包</t>
  </si>
  <si>
    <t>女士大容量包包</t>
  </si>
  <si>
    <t>女士包包大容量</t>
  </si>
  <si>
    <t>老花水桶包</t>
  </si>
  <si>
    <t>手提大包</t>
  </si>
  <si>
    <t>结婚大包</t>
  </si>
  <si>
    <t>头层牛皮托特包</t>
  </si>
  <si>
    <t>红色水桶包</t>
  </si>
  <si>
    <t>编织水桶包</t>
  </si>
  <si>
    <t>产品</t>
  </si>
  <si>
    <t>单数</t>
  </si>
  <si>
    <t>流量</t>
  </si>
  <si>
    <t>bur手提1</t>
    <phoneticPr fontId="9" type="noConversion"/>
  </si>
  <si>
    <t>bur手提2</t>
  </si>
  <si>
    <t>bur手提3</t>
  </si>
  <si>
    <t>bur手提4</t>
  </si>
  <si>
    <t>bur手提5</t>
  </si>
  <si>
    <t>bur手提6</t>
  </si>
  <si>
    <t>bur手提7</t>
  </si>
  <si>
    <t>bur手提8</t>
  </si>
  <si>
    <t>bur手提9</t>
  </si>
  <si>
    <t>bur手提10</t>
  </si>
  <si>
    <t>https://item.taobao.com/item.htm?spm=a1z10.3-c.w4002-18173054067.11.1f526b98sXfrvs&amp;id=685171533497</t>
    <phoneticPr fontId="9" type="noConversion"/>
  </si>
  <si>
    <t>高版本包包</t>
  </si>
  <si>
    <t>小众设计包包</t>
  </si>
  <si>
    <t>手提云朵1</t>
    <phoneticPr fontId="9" type="noConversion"/>
  </si>
  <si>
    <t>汤丽柏琦1</t>
    <phoneticPr fontId="9" type="noConversion"/>
  </si>
  <si>
    <t>手提云朵2</t>
  </si>
  <si>
    <t>手提云朵3</t>
  </si>
  <si>
    <t>手提云朵4</t>
  </si>
  <si>
    <t>手提云朵5</t>
  </si>
  <si>
    <t>手提云朵6</t>
  </si>
  <si>
    <t>手提云朵7</t>
  </si>
  <si>
    <t>手提云朵8</t>
  </si>
  <si>
    <t>手提云朵9</t>
  </si>
  <si>
    <t>手提云朵10</t>
  </si>
  <si>
    <t>汤丽柏琦2</t>
  </si>
  <si>
    <t>汤丽柏琦3</t>
  </si>
  <si>
    <t>汤丽柏琦4</t>
  </si>
  <si>
    <t>汤丽柏琦5</t>
  </si>
  <si>
    <t>汤丽柏琦6</t>
  </si>
  <si>
    <t>汤丽柏琦7</t>
  </si>
  <si>
    <t>汤丽柏琦8</t>
  </si>
  <si>
    <t>汤丽柏琦9</t>
  </si>
  <si>
    <t>汤丽柏琦10</t>
  </si>
  <si>
    <t>云朵包女</t>
    <phoneticPr fontId="9" type="noConversion"/>
  </si>
  <si>
    <t>白色手提包</t>
  </si>
  <si>
    <t>马鞍包</t>
    <phoneticPr fontId="9" type="noConversion"/>
  </si>
  <si>
    <t>2424包</t>
    <phoneticPr fontId="9" type="noConversion"/>
  </si>
  <si>
    <t>露思同款1</t>
    <phoneticPr fontId="9" type="noConversion"/>
  </si>
  <si>
    <t>链条云朵1</t>
    <phoneticPr fontId="9" type="noConversion"/>
  </si>
  <si>
    <t>露思同款2</t>
  </si>
  <si>
    <t>露思同款3</t>
  </si>
  <si>
    <t>露思同款4</t>
  </si>
  <si>
    <t>露思同款5</t>
  </si>
  <si>
    <t>露思同款6</t>
  </si>
  <si>
    <t>露思同款7</t>
  </si>
  <si>
    <t>露思同款8</t>
  </si>
  <si>
    <t>露思同款9</t>
  </si>
  <si>
    <t>露思同款10</t>
  </si>
  <si>
    <t>链条云朵2</t>
  </si>
  <si>
    <t>链条云朵3</t>
  </si>
  <si>
    <t>链条云朵4</t>
  </si>
  <si>
    <t>链条云朵5</t>
  </si>
  <si>
    <t>链条云朵6</t>
  </si>
  <si>
    <t>链条云朵7</t>
  </si>
  <si>
    <t>链条云朵8</t>
  </si>
  <si>
    <t>链条云朵9</t>
  </si>
  <si>
    <t>链条云朵10</t>
  </si>
  <si>
    <t>云朵包女</t>
    <phoneticPr fontId="9" type="noConversion"/>
  </si>
  <si>
    <t>头层牛皮水桶包女</t>
  </si>
  <si>
    <t>水桶包女真皮</t>
    <phoneticPr fontId="9" type="noConversion"/>
  </si>
  <si>
    <t>https://item.taobao.com/item.htm?spm=a1z10.3-c.w4002-18173054067.10.1f526b98LSfG3o&amp;id=691649889430</t>
    <phoneticPr fontId="9" type="noConversion"/>
  </si>
  <si>
    <t>反绒手提1</t>
    <phoneticPr fontId="9" type="noConversion"/>
  </si>
  <si>
    <t>反绒手提2</t>
  </si>
  <si>
    <t>反绒手提3</t>
  </si>
  <si>
    <t>反绒手提4</t>
  </si>
  <si>
    <t>反绒手提5</t>
  </si>
  <si>
    <t>反绒手提6</t>
  </si>
  <si>
    <t>反绒手提7</t>
  </si>
  <si>
    <t>反绒手提8</t>
  </si>
  <si>
    <t>反绒手提9</t>
  </si>
  <si>
    <t>反绒手提10</t>
  </si>
  <si>
    <t>水桶包2022新款</t>
  </si>
  <si>
    <t>白色马鞍包</t>
  </si>
  <si>
    <t>真皮饺子包</t>
    <phoneticPr fontId="9" type="noConversion"/>
  </si>
  <si>
    <t>凯莉包2424包</t>
    <phoneticPr fontId="9" type="noConversion"/>
  </si>
  <si>
    <t>高级感托特包</t>
    <phoneticPr fontId="9" type="noConversion"/>
  </si>
  <si>
    <t>大号水桶包</t>
    <phoneticPr fontId="9" type="noConversion"/>
  </si>
  <si>
    <t>手提包真皮女</t>
    <phoneticPr fontId="9" type="noConversion"/>
  </si>
  <si>
    <t>真皮凯莉包女</t>
    <phoneticPr fontId="9" type="noConversion"/>
  </si>
  <si>
    <t>饺子包</t>
    <phoneticPr fontId="9" type="noConversion"/>
  </si>
  <si>
    <t>凯莉真皮女包</t>
    <phoneticPr fontId="9" type="noConversion"/>
  </si>
  <si>
    <t>https://item.taobao.com/item.htm?spm=a1z10.3-c.w4002-18173054067.10.1f526b98zLz8PZ&amp;id=693182099269</t>
    <phoneticPr fontId="9" type="noConversion"/>
  </si>
  <si>
    <t>保龄球包1</t>
    <phoneticPr fontId="9" type="noConversion"/>
  </si>
  <si>
    <t>保龄球包2</t>
  </si>
  <si>
    <t>保龄球包3</t>
  </si>
  <si>
    <t>保龄球包4</t>
  </si>
  <si>
    <t>保龄球包5</t>
  </si>
  <si>
    <t>保龄球包6</t>
  </si>
  <si>
    <t>保龄球包7</t>
  </si>
  <si>
    <t>保龄球包8</t>
  </si>
  <si>
    <t>保龄球包9</t>
  </si>
  <si>
    <t>保龄球包10</t>
  </si>
  <si>
    <t>soft</t>
    <phoneticPr fontId="9" type="noConversion"/>
  </si>
  <si>
    <t>袁泉同款</t>
    <phoneticPr fontId="9" type="noConversion"/>
  </si>
  <si>
    <t>手提15</t>
    <phoneticPr fontId="9" type="noConversion"/>
  </si>
  <si>
    <t>保龄球</t>
    <phoneticPr fontId="9" type="noConversion"/>
  </si>
  <si>
    <t>德尔沃</t>
    <phoneticPr fontId="9" type="noConversion"/>
  </si>
  <si>
    <t>2424饺子包</t>
    <phoneticPr fontId="9" type="noConversion"/>
  </si>
  <si>
    <t>细带</t>
    <phoneticPr fontId="9" type="noConversion"/>
  </si>
  <si>
    <t>托特包2022新款</t>
    <phoneticPr fontId="15" type="noConversion"/>
  </si>
  <si>
    <t>托特包女高级感</t>
    <phoneticPr fontId="15" type="noConversion"/>
  </si>
  <si>
    <t>大包包托特包</t>
    <phoneticPr fontId="15" type="noConversion"/>
  </si>
  <si>
    <t>头层牛皮托特包</t>
    <phoneticPr fontId="15" type="noConversion"/>
  </si>
  <si>
    <t>单肩托特包</t>
    <phoneticPr fontId="15" type="noConversion"/>
  </si>
  <si>
    <t>托特包男</t>
  </si>
  <si>
    <t>手提包女大容量</t>
    <phoneticPr fontId="15" type="noConversion"/>
  </si>
  <si>
    <t>2424包</t>
    <phoneticPr fontId="9" type="noConversion"/>
  </si>
  <si>
    <t>凯莉包</t>
    <phoneticPr fontId="9" type="noConversion"/>
  </si>
  <si>
    <t>凯莉包女</t>
    <phoneticPr fontId="9" type="noConversion"/>
  </si>
  <si>
    <t>凯莉包2424包</t>
    <phoneticPr fontId="9" type="noConversion"/>
  </si>
  <si>
    <t>mini2424</t>
    <phoneticPr fontId="9" type="noConversion"/>
  </si>
  <si>
    <t>头层牛皮女包</t>
    <phoneticPr fontId="15" type="noConversion"/>
  </si>
  <si>
    <t>马鞍包</t>
    <phoneticPr fontId="9" type="noConversion"/>
  </si>
  <si>
    <t>手提包女高级感</t>
    <phoneticPr fontId="15" type="noConversion"/>
  </si>
  <si>
    <t>牛皮女包</t>
    <phoneticPr fontId="15" type="noConversion"/>
  </si>
  <si>
    <t>斜挎包女 小众</t>
    <phoneticPr fontId="15" type="noConversion"/>
  </si>
  <si>
    <t>真皮女包斜挎包</t>
    <phoneticPr fontId="15" type="noConversion"/>
  </si>
  <si>
    <t>真皮女包头层牛皮</t>
    <phoneticPr fontId="15" type="noConversion"/>
  </si>
  <si>
    <t>手提包女 真皮</t>
    <phoneticPr fontId="15" type="noConversion"/>
  </si>
  <si>
    <t>宽带斜挎包女</t>
    <phoneticPr fontId="15" type="noConversion"/>
  </si>
  <si>
    <t>真皮斜挎包女</t>
    <phoneticPr fontId="15" type="noConversion"/>
  </si>
  <si>
    <t>保龄球包</t>
    <phoneticPr fontId="9" type="noConversion"/>
  </si>
  <si>
    <t>波士顿包</t>
    <phoneticPr fontId="9" type="noConversion"/>
  </si>
  <si>
    <t>枕头包</t>
    <phoneticPr fontId="9" type="noConversion"/>
  </si>
  <si>
    <t>女包头层牛皮</t>
    <phoneticPr fontId="15" type="noConversion"/>
  </si>
  <si>
    <t>真皮女包</t>
    <phoneticPr fontId="15" type="noConversion"/>
  </si>
  <si>
    <t>女包2022新款真皮</t>
    <phoneticPr fontId="15" type="noConversion"/>
  </si>
  <si>
    <t>包包女2022新款大容量</t>
    <phoneticPr fontId="15" type="noConversion"/>
  </si>
  <si>
    <t>大容量女士包包</t>
    <phoneticPr fontId="15" type="noConversion"/>
  </si>
  <si>
    <t>女士包包大容量</t>
    <phoneticPr fontId="15" type="noConversion"/>
  </si>
  <si>
    <t>手提包女</t>
    <phoneticPr fontId="9" type="noConversion"/>
  </si>
  <si>
    <t>铂金包</t>
    <phoneticPr fontId="15" type="noConversion"/>
  </si>
  <si>
    <t>铂金包女</t>
    <phoneticPr fontId="15" type="noConversion"/>
  </si>
  <si>
    <t>ysl菱格</t>
    <phoneticPr fontId="9" type="noConversion"/>
  </si>
  <si>
    <t>真皮女包2022新款</t>
    <phoneticPr fontId="15" type="noConversion"/>
  </si>
  <si>
    <t>菱格托特包</t>
    <phoneticPr fontId="15" type="noConversion"/>
  </si>
  <si>
    <t>托特包女大容量通勤</t>
    <phoneticPr fontId="15" type="noConversion"/>
  </si>
  <si>
    <t>https://item.taobao.com/item.htm?spm=a1z10.3-c.w4002-17834690600.20.72efd3fdy5E7fy&amp;id=628448101262</t>
    <phoneticPr fontId="9" type="noConversion"/>
  </si>
  <si>
    <t>牛皮托特包</t>
    <phoneticPr fontId="9" type="noConversion"/>
  </si>
  <si>
    <t>头层牛皮托特包</t>
    <phoneticPr fontId="9" type="noConversion"/>
  </si>
  <si>
    <t>搜索</t>
    <phoneticPr fontId="9" type="noConversion"/>
  </si>
  <si>
    <t>加购</t>
    <phoneticPr fontId="9" type="noConversion"/>
  </si>
  <si>
    <t>收藏</t>
    <phoneticPr fontId="9" type="noConversion"/>
  </si>
  <si>
    <t>写入数据</t>
    <phoneticPr fontId="9" type="noConversion"/>
  </si>
  <si>
    <t>实际</t>
    <phoneticPr fontId="9" type="noConversion"/>
  </si>
  <si>
    <t>新款真皮女包</t>
    <phoneticPr fontId="15" type="noConversion"/>
  </si>
  <si>
    <t>terrass</t>
    <phoneticPr fontId="9" type="noConversion"/>
  </si>
  <si>
    <t>EW</t>
    <phoneticPr fontId="9" type="noConversion"/>
  </si>
  <si>
    <t>row10</t>
    <phoneticPr fontId="9" type="noConversion"/>
  </si>
  <si>
    <t>https://item.taobao.com/item.htm?spm=a1z10.3-c.w4002-18173054067.10.1f526b98inq9Qh&amp;id=693944704578</t>
    <phoneticPr fontId="9" type="noConversion"/>
  </si>
  <si>
    <t>https://item.taobao.com/item.htm?spm=a1z10.3-c.w4002-18173054067.12.1f526b98inq9Qh&amp;id=694521086950</t>
    <phoneticPr fontId="9" type="noConversion"/>
  </si>
  <si>
    <t>https://item.taobao.com/item.htm?spm=a1z10.3-c.w4002-18173054067.14.1f526b98inq9Qh&amp;id=694262521274</t>
    <phoneticPr fontId="9" type="noConversion"/>
  </si>
  <si>
    <t>terrass1</t>
    <phoneticPr fontId="9" type="noConversion"/>
  </si>
  <si>
    <t>EW1</t>
    <phoneticPr fontId="9" type="noConversion"/>
  </si>
  <si>
    <t>row十1</t>
    <phoneticPr fontId="9" type="noConversion"/>
  </si>
  <si>
    <t>terrass2</t>
  </si>
  <si>
    <t>terrass3</t>
  </si>
  <si>
    <t>terrass4</t>
  </si>
  <si>
    <t>terrass5</t>
  </si>
  <si>
    <t>terrass6</t>
  </si>
  <si>
    <t>terrass7</t>
  </si>
  <si>
    <t>terrass8</t>
  </si>
  <si>
    <t>terrass9</t>
  </si>
  <si>
    <t>terrass10</t>
  </si>
  <si>
    <t>EW2</t>
  </si>
  <si>
    <t>EW3</t>
  </si>
  <si>
    <t>EW4</t>
  </si>
  <si>
    <t>EW5</t>
  </si>
  <si>
    <t>EW6</t>
  </si>
  <si>
    <t>EW7</t>
  </si>
  <si>
    <t>EW8</t>
  </si>
  <si>
    <t>EW9</t>
  </si>
  <si>
    <t>EW10</t>
  </si>
  <si>
    <t>row十2</t>
  </si>
  <si>
    <t>row十3</t>
  </si>
  <si>
    <t>row十4</t>
  </si>
  <si>
    <t>row十5</t>
  </si>
  <si>
    <t>row十6</t>
  </si>
  <si>
    <t>row十7</t>
  </si>
  <si>
    <t>row十8</t>
  </si>
  <si>
    <t>row十9</t>
  </si>
  <si>
    <t>row十10</t>
  </si>
  <si>
    <t>https://item.taobao.com/item.htm?spm=a1z10.1-c.w137644-22463256507.39.43d3414asnee2M&amp;id=730331671284</t>
    <phoneticPr fontId="9" type="noConversion"/>
  </si>
  <si>
    <t>人仔1</t>
  </si>
  <si>
    <t>人仔1</t>
    <phoneticPr fontId="9" type="noConversion"/>
  </si>
  <si>
    <t>人仔2</t>
  </si>
  <si>
    <t>人仔3</t>
  </si>
  <si>
    <t>人仔4</t>
  </si>
  <si>
    <t>人仔5</t>
  </si>
  <si>
    <t>人仔6</t>
  </si>
  <si>
    <t>人仔7</t>
  </si>
  <si>
    <t>人仔8</t>
  </si>
  <si>
    <t>人仔9</t>
  </si>
  <si>
    <t>人仔10</t>
  </si>
  <si>
    <t>人仔11</t>
  </si>
  <si>
    <t>人仔12</t>
  </si>
  <si>
    <t>人仔13</t>
  </si>
  <si>
    <t>人仔14</t>
  </si>
  <si>
    <t>人仔15</t>
  </si>
  <si>
    <t>人仔16</t>
  </si>
  <si>
    <t>人仔17</t>
  </si>
  <si>
    <t>人仔18</t>
  </si>
  <si>
    <t>人仔19</t>
  </si>
  <si>
    <t>人仔20</t>
  </si>
  <si>
    <t>人仔21</t>
  </si>
  <si>
    <t>人仔22</t>
  </si>
  <si>
    <t>人仔23</t>
  </si>
  <si>
    <t>垃圾桶</t>
  </si>
  <si>
    <t>分类垃圾桶</t>
  </si>
  <si>
    <t>垃圾分类垃圾桶</t>
  </si>
  <si>
    <t>酒店大堂垃圾桶</t>
  </si>
  <si>
    <t>垃圾桶酒店大堂立式</t>
  </si>
  <si>
    <t>酒店大堂垃圾桶立式电梯口专用</t>
  </si>
  <si>
    <t>大堂垃圾桶</t>
  </si>
  <si>
    <t>酒店垃圾桶</t>
  </si>
  <si>
    <t>不锈钢垃圾桶户外 禁烟</t>
  </si>
  <si>
    <t>定制垃圾桶</t>
  </si>
  <si>
    <t>不锈钢垃圾桶</t>
  </si>
  <si>
    <t>垃圾桶商场</t>
  </si>
  <si>
    <t>酒店垃圾筒</t>
  </si>
  <si>
    <t>电梯垃圾箱</t>
  </si>
  <si>
    <t>垃圾桶大容量</t>
  </si>
  <si>
    <t>垃圾桶商用</t>
  </si>
  <si>
    <t>垃圾桶定制</t>
  </si>
  <si>
    <t>酒店豪华烟灰筒</t>
    <phoneticPr fontId="9" type="noConversion"/>
  </si>
  <si>
    <t>不锈钢果皮箱</t>
    <phoneticPr fontId="9" type="noConversion"/>
  </si>
  <si>
    <t>酒店垃圾桶大堂立式</t>
    <phoneticPr fontId="9" type="noConversion"/>
  </si>
  <si>
    <t>商用垃圾桶</t>
    <phoneticPr fontId="9" type="noConversion"/>
  </si>
  <si>
    <t>新概念1</t>
    <phoneticPr fontId="9" type="noConversion"/>
  </si>
  <si>
    <t>新概念2</t>
  </si>
  <si>
    <t>新概念3</t>
  </si>
  <si>
    <t>新概念4</t>
  </si>
  <si>
    <t>新概念5</t>
  </si>
  <si>
    <t>新概念6</t>
  </si>
  <si>
    <t>新概念7</t>
  </si>
  <si>
    <t>新概念8</t>
  </si>
  <si>
    <t>新概念9</t>
  </si>
  <si>
    <t>新概念10</t>
  </si>
  <si>
    <t>新概念11</t>
  </si>
  <si>
    <t>新概念12</t>
  </si>
  <si>
    <t>新概念13</t>
  </si>
  <si>
    <t>新概念14</t>
  </si>
  <si>
    <t>新概念15</t>
  </si>
  <si>
    <t>新概念16</t>
  </si>
  <si>
    <t>新概念17</t>
  </si>
  <si>
    <t>新概念18</t>
  </si>
  <si>
    <t>座地烟灰桶</t>
    <phoneticPr fontId="9" type="noConversion"/>
  </si>
  <si>
    <t>商用烟灰桶</t>
    <phoneticPr fontId="9" type="noConversion"/>
  </si>
  <si>
    <t>新概念烟灰桶</t>
    <phoneticPr fontId="9" type="noConversion"/>
  </si>
  <si>
    <t>新概念垃圾桶</t>
    <phoneticPr fontId="9" type="noConversion"/>
  </si>
  <si>
    <t>https://item.taobao.com/item.htm?spm=a1z10.1-c-s.w4004-25006331919.6.238c414aaQwvS1&amp;id=731706347348</t>
    <phoneticPr fontId="9" type="noConversion"/>
  </si>
  <si>
    <t>商用垃圾桶</t>
  </si>
  <si>
    <t>酒店垃圾桶大堂立式</t>
  </si>
  <si>
    <t>酒店豪华烟灰筒</t>
  </si>
  <si>
    <t>不锈钢果皮箱</t>
  </si>
  <si>
    <t>大垃圾桶商用</t>
  </si>
  <si>
    <t>户外垃圾桶不锈钢</t>
  </si>
  <si>
    <t>垃圾桶不锈钢</t>
  </si>
  <si>
    <t>不锈钢垃圾桶公共场合</t>
  </si>
  <si>
    <t>果皮箱</t>
  </si>
  <si>
    <t>不锈钢户外垃圾桶</t>
  </si>
  <si>
    <t>大号垃圾桶商用</t>
  </si>
  <si>
    <t>不锈钢垃圾桶商用</t>
  </si>
  <si>
    <t>户外果皮箱</t>
  </si>
  <si>
    <t>电梯口垃圾桶</t>
  </si>
  <si>
    <t>分类垃圾桶不锈钢</t>
  </si>
  <si>
    <t>垃圾桶商用大号</t>
  </si>
  <si>
    <t>酒店用垃圾桶</t>
  </si>
  <si>
    <t>酒店大厅垃圾桶</t>
  </si>
  <si>
    <t>烟灰柱1</t>
  </si>
  <si>
    <t>烟灰柱1</t>
    <phoneticPr fontId="9" type="noConversion"/>
  </si>
  <si>
    <t>烟灰柱2</t>
  </si>
  <si>
    <t>烟灰柱3</t>
  </si>
  <si>
    <t>烟灰柱4</t>
  </si>
  <si>
    <t>烟灰柱5</t>
  </si>
  <si>
    <t>烟灰柱6</t>
  </si>
  <si>
    <t>烟灰柱7</t>
  </si>
  <si>
    <t>烟灰柱8</t>
  </si>
  <si>
    <t>烟灰柱9</t>
  </si>
  <si>
    <t>烟灰柱10</t>
  </si>
  <si>
    <t>烟灰柱11</t>
  </si>
  <si>
    <t>烟灰柱12</t>
  </si>
  <si>
    <t>烟灰柱13</t>
  </si>
  <si>
    <t>烟灰柱14</t>
  </si>
  <si>
    <t>烟灰柱</t>
  </si>
  <si>
    <t>立式烟灰柱</t>
  </si>
  <si>
    <t>不锈钢烟灰柱</t>
  </si>
  <si>
    <t>烟灰柱立式</t>
  </si>
  <si>
    <t>不锈钢立式烟灰柱</t>
  </si>
  <si>
    <t>烟蒂柱</t>
  </si>
  <si>
    <t>烟灰桶 立式</t>
  </si>
  <si>
    <t>立式烟灰桶</t>
  </si>
  <si>
    <t>商用立式烟灰桶</t>
  </si>
  <si>
    <t>灭烟筒</t>
  </si>
  <si>
    <t>户外灭烟桶</t>
  </si>
  <si>
    <t>烟头收集器</t>
    <phoneticPr fontId="9" type="noConversion"/>
  </si>
  <si>
    <t>https://item.taobao.com/item.htm?id=737272387538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</si>
</sst>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1">
    <font>
      <sz val="11"/>
      <color indexed="8"/>
      <name val="等线"/>
      <family val="2"/>
      <charset val="134"/>
    </font>
    <font>
      <u/>
      <sz val="11"/>
      <color indexed="30"/>
      <name val="等线"/>
      <family val="2"/>
      <charset val="134"/>
    </font>
    <font>
      <b/>
      <sz val="12"/>
      <color indexed="8"/>
      <name val="等线"/>
      <family val="3"/>
      <charset val="134"/>
    </font>
    <font>
      <sz val="9"/>
      <color indexed="8"/>
      <name val="等线"/>
      <family val="3"/>
      <charset val="134"/>
    </font>
    <font>
      <u/>
      <sz val="9"/>
      <color indexed="12"/>
      <name val="等线"/>
      <family val="3"/>
      <charset val="134"/>
    </font>
    <font>
      <sz val="8"/>
      <color indexed="8"/>
      <name val="等线"/>
      <family val="3"/>
      <charset val="134"/>
    </font>
    <font>
      <sz val="9"/>
      <color indexed="10"/>
      <name val="等线"/>
      <family val="3"/>
      <charset val="134"/>
    </font>
    <font>
      <sz val="12"/>
      <color indexed="8"/>
      <name val="SimSun"/>
      <charset val="134"/>
    </font>
    <font>
      <b/>
      <sz val="11"/>
      <color indexed="8"/>
      <name val="等线"/>
      <family val="3"/>
      <charset val="134"/>
    </font>
    <font>
      <sz val="9"/>
      <name val="等线"/>
      <family val="2"/>
      <charset val="134"/>
    </font>
    <font>
      <sz val="11"/>
      <color theme="1"/>
      <name val="等线"/>
      <family val="3"/>
      <charset val="134"/>
    </font>
    <font>
      <sz val="8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FF0000"/>
      <name val="等线"/>
      <family val="3"/>
      <charset val="134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等线"/>
      <family val="3"/>
      <charset val="134"/>
    </font>
    <font>
      <sz val="11"/>
      <color indexed="8"/>
      <name val="等线"/>
      <family val="3"/>
      <charset val="134"/>
    </font>
    <font>
      <sz val="11"/>
      <color theme="0" tint="-0.249977111117893"/>
      <name val="等线"/>
      <family val="3"/>
      <charset val="134"/>
    </font>
    <font>
      <b/>
      <sz val="11"/>
      <color rgb="FFFF0000"/>
      <name val="等线"/>
      <family val="3"/>
      <charset val="134"/>
    </font>
    <font>
      <sz val="12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1" applyFont="1" applyAlignment="1">
      <alignment horizontal="fill" vertic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1" fillId="0" borderId="0" xfId="1">
      <alignment vertical="center"/>
    </xf>
    <xf numFmtId="0" fontId="5" fillId="5" borderId="0" xfId="0" applyFont="1" applyFill="1" applyAlignment="1">
      <alignment horizontal="left" vertical="center"/>
    </xf>
    <xf numFmtId="0" fontId="0" fillId="5" borderId="0" xfId="0" applyFill="1">
      <alignment vertical="center"/>
    </xf>
    <xf numFmtId="0" fontId="7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0" xfId="0" applyAlignment="1">
      <alignment horizontal="fill" vertical="center"/>
    </xf>
    <xf numFmtId="0" fontId="0" fillId="0" borderId="0" xfId="0" applyFill="1" applyAlignment="1">
      <alignment horizontal="fill" vertical="center"/>
    </xf>
    <xf numFmtId="0" fontId="1" fillId="0" borderId="0" xfId="1" applyFill="1" applyAlignment="1">
      <alignment horizontal="fill" vertical="center"/>
    </xf>
    <xf numFmtId="0" fontId="1" fillId="0" borderId="0" xfId="1" applyAlignment="1">
      <alignment horizontal="fill"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176" fontId="17" fillId="0" borderId="0" xfId="0" applyNumberFormat="1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</cellXfs>
  <cellStyles count="2">
    <cellStyle name="常规" xfId="0" builtinId="0"/>
    <cellStyle name="超链接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tem.taobao.com/item.htm?spm=a1z10.1-c-s.w4004-25006331919.6.238c414aaQwvS1&amp;id=731706347348" TargetMode="External"/><Relationship Id="rId2" Type="http://schemas.openxmlformats.org/officeDocument/2006/relationships/hyperlink" Target="https://item.taobao.com/item.htm?spm=a1z10.1-c.w137644-22463256507.39.43d3414asnee2M&amp;id=730331671284" TargetMode="External"/><Relationship Id="rId1" Type="http://schemas.openxmlformats.org/officeDocument/2006/relationships/hyperlink" Target="https://item.taobao.com/item.htm?id=737272387538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item.taobao.com/item.htm?spm=a1z10.1-c-s.w4004-25006331919.6.238c414aaQwvS1&amp;id=731706347348" TargetMode="External"/><Relationship Id="rId2" Type="http://schemas.openxmlformats.org/officeDocument/2006/relationships/hyperlink" Target="https://item.taobao.com/item.htm?spm=a1z10.1-c.w137644-22463256507.39.43d3414asnee2M&amp;id=730331671284" TargetMode="External"/><Relationship Id="rId1" Type="http://schemas.openxmlformats.org/officeDocument/2006/relationships/hyperlink" Target="https://item.taobao.com/item.htm?id=737272387538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item.taobao.com/item.htm?spm=a1z10.3-c.w4002-18173054067.10.1f526b98dNtDnm&amp;id=684073724835" TargetMode="External"/><Relationship Id="rId13" Type="http://schemas.openxmlformats.org/officeDocument/2006/relationships/hyperlink" Target="https://item.taobao.com/item.htm?spm=a1z10.3-c.w4002-18173054067.14.1f526b98inq9Qh&amp;id=694262521274" TargetMode="External"/><Relationship Id="rId3" Type="http://schemas.openxmlformats.org/officeDocument/2006/relationships/hyperlink" Target="https://item.taobao.com/item.htm?spm=a1z10.3-c.w4002-17834690600.12.338e6b98hvbULS&amp;id=673341318398" TargetMode="External"/><Relationship Id="rId7" Type="http://schemas.openxmlformats.org/officeDocument/2006/relationships/hyperlink" Target="https://item.taobao.com/item.htm?spm=a1z10.3-c.w4002-18173054067.10.1f526b98zLz8PZ&amp;id=693182099269" TargetMode="External"/><Relationship Id="rId12" Type="http://schemas.openxmlformats.org/officeDocument/2006/relationships/hyperlink" Target="https://item.taobao.com/item.htm?spm=a1z10.3-c.w4002-18173054067.12.1f526b98inq9Qh&amp;id=694521086950" TargetMode="External"/><Relationship Id="rId2" Type="http://schemas.openxmlformats.org/officeDocument/2006/relationships/hyperlink" Target="https://item.taobao.com/item.htm?spm=a1z10.3-c.w4002-17834690600.16.338e6b98hvbULS&amp;id=597829998086" TargetMode="External"/><Relationship Id="rId1" Type="http://schemas.openxmlformats.org/officeDocument/2006/relationships/hyperlink" Target="https://item.taobao.com/item.htm?spm=a1z10.1-c.w4004-17834690587.4.33ce65c8F4evq6&amp;id=627178283054" TargetMode="External"/><Relationship Id="rId6" Type="http://schemas.openxmlformats.org/officeDocument/2006/relationships/hyperlink" Target="https://item.taobao.com/item.htm?spm=a1z10.3-c.w4002-18173054067.10.1f526b98LSfG3o&amp;id=691649889430" TargetMode="External"/><Relationship Id="rId11" Type="http://schemas.openxmlformats.org/officeDocument/2006/relationships/hyperlink" Target="https://item.taobao.com/item.htm?spm=a1z10.3-c.w4002-18173054067.10.1f526b98inq9Qh&amp;id=693944704578" TargetMode="External"/><Relationship Id="rId5" Type="http://schemas.openxmlformats.org/officeDocument/2006/relationships/hyperlink" Target="https://item.taobao.com/item.htm?spm=a1z10.3-c.w4002-18173054067.11.1f526b98sXfrvs&amp;id=685171533497" TargetMode="External"/><Relationship Id="rId10" Type="http://schemas.openxmlformats.org/officeDocument/2006/relationships/hyperlink" Target="https://item.taobao.com/item.htm?spm=a1z10.1-c.w4004-17834690587.14.33ce394a9xNdwk&amp;id=678579155854" TargetMode="External"/><Relationship Id="rId4" Type="http://schemas.openxmlformats.org/officeDocument/2006/relationships/hyperlink" Target="https://item.taobao.com/item.htm?spm=a1z10.3-c.w4002-17834690600.20.72efd3fdy5E7fy&amp;id=628448101262" TargetMode="External"/><Relationship Id="rId9" Type="http://schemas.openxmlformats.org/officeDocument/2006/relationships/hyperlink" Target="https://item.taobao.com/item.htm?spm=a1z10.3-c.w4002-18173054067.12.1f526b98dNtDnm&amp;id=68385010867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B66EA-0C2C-460F-B301-FC285E7A1DF2}">
  <sheetPr codeName="Sheet10"/>
  <dimension ref="A1:T23"/>
  <sheetViews>
    <sheetView tabSelected="1" zoomScale="130" zoomScaleNormal="130" workbookViewId="0">
      <selection activeCell="I11" sqref="I11"/>
    </sheetView>
  </sheetViews>
  <sheetFormatPr defaultColWidth="9" defaultRowHeight="14.25"/>
  <cols>
    <col min="1" max="1" width="14.875" customWidth="1"/>
    <col min="2" max="2" width="4.875" customWidth="1"/>
    <col min="3" max="3" width="5.875" style="41" customWidth="1"/>
    <col min="4" max="4" width="5.25" style="40" customWidth="1"/>
    <col min="5" max="5" width="11.125" style="43" customWidth="1"/>
    <col min="6" max="6" width="5.5" style="17" customWidth="1"/>
    <col min="7" max="9" width="6.75" customWidth="1"/>
    <col min="10" max="10" width="9" customWidth="1"/>
    <col min="12" max="12" width="9" style="18"/>
    <col min="15" max="15" width="7.375" customWidth="1"/>
    <col min="17" max="17" width="9" style="18"/>
    <col min="20" max="20" width="7" style="16" customWidth="1"/>
    <col min="21" max="21" width="7" customWidth="1"/>
  </cols>
  <sheetData>
    <row r="1" spans="1:18">
      <c r="A1" s="42" t="s">
        <v>601</v>
      </c>
      <c r="B1" s="42">
        <v>3</v>
      </c>
      <c r="C1" s="40">
        <f>ROUND((B1/$G$3)*$H$3,0)</f>
        <v>0</v>
      </c>
      <c r="D1" s="40">
        <f>ROUND((B1/$G$3)*$I$3,0)</f>
        <v>0</v>
      </c>
      <c r="E1" s="43" t="s">
        <v>586</v>
      </c>
      <c r="G1" s="19" t="str">
        <f>VLOOKUP(E1,P:Q,2,0)</f>
        <v>https://item.taobao.com/item.htm?id=737272387538</v>
      </c>
      <c r="H1" s="17"/>
      <c r="I1" s="17"/>
      <c r="J1" s="17"/>
      <c r="L1" s="16"/>
      <c r="M1" s="16"/>
      <c r="P1" s="22" t="s">
        <v>501</v>
      </c>
      <c r="Q1" s="20" t="s">
        <v>499</v>
      </c>
    </row>
    <row r="2" spans="1:18">
      <c r="A2" s="42" t="s">
        <v>602</v>
      </c>
      <c r="B2" s="42">
        <v>3</v>
      </c>
      <c r="C2" s="40">
        <v>1</v>
      </c>
      <c r="D2" s="40">
        <f>ROUND((B2/$G$3)*$I$3,0)</f>
        <v>0</v>
      </c>
      <c r="E2" s="43" t="s">
        <v>588</v>
      </c>
      <c r="G2" t="s">
        <v>457</v>
      </c>
      <c r="H2" t="s">
        <v>459</v>
      </c>
      <c r="I2" t="s">
        <v>458</v>
      </c>
      <c r="J2" s="35">
        <f>VLOOKUP(E1,P:R,3,0)</f>
        <v>30</v>
      </c>
      <c r="L2" s="16"/>
      <c r="M2" s="16"/>
      <c r="P2" s="22" t="s">
        <v>545</v>
      </c>
      <c r="Q2" s="20" t="s">
        <v>567</v>
      </c>
    </row>
    <row r="3" spans="1:18">
      <c r="A3" s="42" t="s">
        <v>603</v>
      </c>
      <c r="B3" s="42">
        <v>3</v>
      </c>
      <c r="C3" s="40">
        <f>ROUND((B3/$G$3)*$H$3,0)</f>
        <v>0</v>
      </c>
      <c r="D3" s="40">
        <f>ROUND((B3/$G$3)*$I$3,0)</f>
        <v>0</v>
      </c>
      <c r="E3" s="43" t="s">
        <v>589</v>
      </c>
      <c r="G3" s="39">
        <f>J2*0.8</f>
        <v>24</v>
      </c>
      <c r="H3" s="37">
        <f>J2*0.08</f>
        <v>2.4</v>
      </c>
      <c r="I3" s="37">
        <f>J2*0.12</f>
        <v>3.5999999999999996</v>
      </c>
      <c r="J3" s="37"/>
      <c r="L3" s="16"/>
      <c r="M3" s="16"/>
      <c r="P3" s="22" t="s">
        <v>587</v>
      </c>
      <c r="Q3" s="20" t="s">
        <v>613</v>
      </c>
      <c r="R3">
        <v>30</v>
      </c>
    </row>
    <row r="4" spans="1:18">
      <c r="A4" s="42" t="s">
        <v>604</v>
      </c>
      <c r="B4" s="42">
        <v>3</v>
      </c>
      <c r="C4" s="40">
        <f>ROUND((B4/$G$3)*$H$3,0)</f>
        <v>0</v>
      </c>
      <c r="D4" s="40">
        <v>1</v>
      </c>
      <c r="E4" s="43" t="s">
        <v>590</v>
      </c>
      <c r="F4" s="17" t="s">
        <v>461</v>
      </c>
      <c r="G4" s="36">
        <f>SUM(B:B)</f>
        <v>24</v>
      </c>
      <c r="H4" s="38">
        <f>SUM(C:C)</f>
        <v>2</v>
      </c>
      <c r="I4" s="38">
        <f>SUM(D:D)</f>
        <v>2</v>
      </c>
      <c r="J4" s="36">
        <f>SUM(G4:I4)</f>
        <v>28</v>
      </c>
      <c r="L4" s="16"/>
      <c r="M4" s="16"/>
      <c r="P4" s="22" t="s">
        <v>8</v>
      </c>
      <c r="Q4" s="19" t="s">
        <v>9</v>
      </c>
    </row>
    <row r="5" spans="1:18">
      <c r="A5" s="42" t="s">
        <v>605</v>
      </c>
      <c r="B5" s="42">
        <v>2</v>
      </c>
      <c r="C5" s="40">
        <f>ROUND((B5/$G$3)*$H$3,0)</f>
        <v>0</v>
      </c>
      <c r="D5" s="40">
        <f>ROUND((B5/$G$3)*$I$3,0)</f>
        <v>0</v>
      </c>
      <c r="E5" s="43" t="s">
        <v>591</v>
      </c>
      <c r="G5" s="17"/>
      <c r="H5" s="17"/>
      <c r="I5" s="17"/>
      <c r="J5" s="17" t="s">
        <v>460</v>
      </c>
      <c r="L5" s="16"/>
      <c r="M5" s="16"/>
      <c r="P5" s="22"/>
      <c r="Q5" s="20"/>
    </row>
    <row r="6" spans="1:18">
      <c r="A6" s="42" t="s">
        <v>606</v>
      </c>
      <c r="B6" s="42">
        <v>2</v>
      </c>
      <c r="C6" s="40">
        <f>ROUND((B6/$G$3)*$H$3,0)</f>
        <v>0</v>
      </c>
      <c r="D6" s="40">
        <v>1</v>
      </c>
      <c r="E6" s="43" t="s">
        <v>592</v>
      </c>
      <c r="G6" s="17"/>
      <c r="H6" s="17"/>
      <c r="I6" s="17"/>
      <c r="L6" s="16"/>
      <c r="M6" s="16"/>
      <c r="P6" s="22"/>
      <c r="Q6" s="19"/>
    </row>
    <row r="7" spans="1:18">
      <c r="A7" s="42" t="s">
        <v>607</v>
      </c>
      <c r="B7" s="42">
        <v>2</v>
      </c>
      <c r="C7" s="40">
        <f>ROUND((B7/$G$3)*$H$3,0)</f>
        <v>0</v>
      </c>
      <c r="D7" s="40">
        <f>ROUND((B7/$G$3)*$I$3,0)</f>
        <v>0</v>
      </c>
      <c r="E7" s="43" t="s">
        <v>593</v>
      </c>
      <c r="G7" s="17"/>
      <c r="H7" s="17"/>
      <c r="I7" s="17"/>
      <c r="J7" s="17"/>
      <c r="L7" s="16"/>
      <c r="M7" s="16"/>
      <c r="P7" s="22"/>
      <c r="Q7" s="19"/>
    </row>
    <row r="8" spans="1:18">
      <c r="A8" s="42" t="s">
        <v>608</v>
      </c>
      <c r="B8" s="42">
        <v>2</v>
      </c>
      <c r="C8" s="40">
        <v>1</v>
      </c>
      <c r="D8" s="40">
        <f>ROUND((B8/$G$3)*$I$3,0)</f>
        <v>0</v>
      </c>
      <c r="E8" s="43" t="s">
        <v>594</v>
      </c>
      <c r="G8" s="17"/>
      <c r="H8" s="17"/>
      <c r="I8" s="17"/>
      <c r="J8" s="17"/>
      <c r="L8" s="16"/>
      <c r="M8" s="16"/>
      <c r="P8" s="22"/>
      <c r="Q8" s="21"/>
    </row>
    <row r="9" spans="1:18">
      <c r="A9" s="42" t="s">
        <v>609</v>
      </c>
      <c r="B9" s="42">
        <v>2</v>
      </c>
      <c r="C9" s="40">
        <f>ROUND((B9/$G$3)*$H$3,0)</f>
        <v>0</v>
      </c>
      <c r="D9" s="40">
        <f>ROUND((B9/$G$3)*$I$3,0)</f>
        <v>0</v>
      </c>
      <c r="E9" s="43" t="s">
        <v>595</v>
      </c>
      <c r="P9" s="22"/>
      <c r="Q9" s="21"/>
    </row>
    <row r="10" spans="1:18">
      <c r="A10" s="42" t="s">
        <v>610</v>
      </c>
      <c r="B10" s="42">
        <v>2</v>
      </c>
      <c r="C10" s="40">
        <f>ROUND((B10/$G$3)*$H$3,0)</f>
        <v>0</v>
      </c>
      <c r="D10" s="40">
        <f>ROUND((B10/$G$3)*$I$3,0)</f>
        <v>0</v>
      </c>
      <c r="E10" s="43" t="s">
        <v>596</v>
      </c>
      <c r="P10" s="22"/>
      <c r="Q10" s="21"/>
    </row>
    <row r="11" spans="1:18">
      <c r="C11" s="40"/>
      <c r="P11" s="22"/>
      <c r="Q11" s="21"/>
    </row>
    <row r="12" spans="1:18">
      <c r="C12" s="40"/>
      <c r="P12" s="22"/>
      <c r="Q12" s="21"/>
    </row>
    <row r="13" spans="1:18">
      <c r="C13" s="40"/>
      <c r="P13" s="22"/>
      <c r="Q13" s="21"/>
    </row>
    <row r="14" spans="1:18">
      <c r="C14" s="40"/>
      <c r="P14" s="22"/>
      <c r="Q14" s="21"/>
    </row>
    <row r="15" spans="1:18">
      <c r="C15" s="40"/>
      <c r="P15" s="22"/>
      <c r="Q15" s="20"/>
    </row>
    <row r="16" spans="1:18">
      <c r="C16" s="40"/>
      <c r="P16" s="22"/>
      <c r="Q16" s="21"/>
    </row>
    <row r="17" spans="3:17">
      <c r="C17" s="40"/>
      <c r="P17" s="22"/>
      <c r="Q17" s="21"/>
    </row>
    <row r="18" spans="3:17">
      <c r="C18" s="40"/>
      <c r="P18" s="22"/>
      <c r="Q18" s="21"/>
    </row>
    <row r="19" spans="3:17">
      <c r="C19" s="40"/>
      <c r="P19" s="22"/>
      <c r="Q19" s="21"/>
    </row>
    <row r="20" spans="3:17">
      <c r="C20" s="40"/>
      <c r="P20" s="22"/>
      <c r="Q20" s="21"/>
    </row>
    <row r="21" spans="3:17">
      <c r="C21" s="40"/>
    </row>
    <row r="22" spans="3:17">
      <c r="C22" s="40"/>
    </row>
    <row r="23" spans="3:17">
      <c r="C23" s="40"/>
    </row>
  </sheetData>
  <phoneticPr fontId="9" type="noConversion"/>
  <dataValidations count="5">
    <dataValidation type="list" allowBlank="1" showInputMessage="1" sqref="E1" xr:uid="{E6179FFE-0EE7-4481-9310-FA3255A73CA5}">
      <formula1>"人仔1, 新概念1, 小水+1,细带水桶1"</formula1>
    </dataValidation>
    <dataValidation type="list" allowBlank="1" showInputMessage="1" sqref="E2:E10" xr:uid="{6F0CBBA1-DBAD-4FB0-B9EC-6E76689CFA43}">
      <formula1>"双层1, 小水1, 小水+1,细带水桶1, bur手提1,圆水桶1, 托特包1, soft1, 铂金包1, 马鞍包1,herbag1,H饺子包1, 菜篮子1, 手提云朵1,汤丽柏琦1,露思同款1,链条云朵1, 反绒手提1,保龄球包1,terrass1,EW1,row十1"</formula1>
    </dataValidation>
    <dataValidation type="list" allowBlank="1" showInputMessage="1" showErrorMessage="1" sqref="F10:F12" xr:uid="{BDE7E533-C2A5-4C3D-BEC8-9715E9082876}">
      <formula1>"双层,小水,大水桶,圆水桶,托特包,soft,铂金包,凯荔,凯一,凯二,菜篮子,琳迪金扣,琳迪银扣,琳迪mini,花园包,,花园包1,帆布花园"</formula1>
    </dataValidation>
    <dataValidation type="list" allowBlank="1" showInputMessage="1" showErrorMessage="1" sqref="F6:F9" xr:uid="{4C6B47F1-9512-4702-B2D4-06E17F331641}">
      <formula1>"双层1, 小水1, 大水桶1, 圆水桶1, 托特包1, soft1, 铂金包1, 凯荔1, 凯一1, 凯二1, 菜篮子1, 琳迪金扣1, 琳迪银扣1, 琳迪mini1, 花园包1, 帆布花园1"</formula1>
    </dataValidation>
    <dataValidation type="list" allowBlank="1" showInputMessage="1" sqref="F1:F5 E11:E23" xr:uid="{F6AF8053-2C06-4434-8AA8-FD7754EF7255}">
      <formula1>"双层1, 小水1, 小水+1,细带水桶1, bur手提1,圆水桶1, 托特包1, soft1, 铂金包1, 马鞍包1,herbag1,H饺子包1, 菜篮子1, 手提云朵1,汤丽柏琦1,露思同款1,链条云朵1, 反绒手提1,保龄球包1"</formula1>
    </dataValidation>
  </dataValidations>
  <hyperlinks>
    <hyperlink ref="Q3" r:id="rId1" xr:uid="{AB811AAE-2CE8-4518-817F-8A2D6CF275AD}"/>
    <hyperlink ref="Q1" r:id="rId2" xr:uid="{62E6B234-F952-4479-8F29-F8F39BA67E3E}"/>
    <hyperlink ref="Q2" r:id="rId3" xr:uid="{226343DF-D5B3-447C-8FD0-D8A52C7ADE4E}"/>
  </hyperlinks>
  <pageMargins left="0.69930555555555596" right="0.69930555555555596" top="0.75" bottom="0.75" header="0.3" footer="0.3"/>
  <pageSetup paperSize="256" orientation="portrait" horizontalDpi="203" verticalDpi="203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CE8B5-FFD9-4CF4-8907-7D14AAA65F78}">
  <sheetPr codeName="Sheet9"/>
  <dimension ref="A1:T23"/>
  <sheetViews>
    <sheetView zoomScale="130" zoomScaleNormal="130" workbookViewId="0">
      <selection activeCell="M16" sqref="M16"/>
    </sheetView>
  </sheetViews>
  <sheetFormatPr defaultColWidth="9" defaultRowHeight="14.25"/>
  <cols>
    <col min="1" max="1" width="14.875" customWidth="1"/>
    <col min="2" max="2" width="4.875" customWidth="1"/>
    <col min="3" max="3" width="5.875" style="41" customWidth="1"/>
    <col min="4" max="4" width="5.25" style="40" customWidth="1"/>
    <col min="5" max="5" width="11.125" style="43" customWidth="1"/>
    <col min="6" max="6" width="5.5" style="17" customWidth="1"/>
    <col min="7" max="9" width="6.75" customWidth="1"/>
    <col min="10" max="10" width="9" customWidth="1"/>
    <col min="12" max="12" width="9" style="18"/>
    <col min="15" max="15" width="7.375" customWidth="1"/>
    <col min="17" max="17" width="9" style="18"/>
    <col min="20" max="20" width="7" style="16" customWidth="1"/>
    <col min="21" max="21" width="7" customWidth="1"/>
  </cols>
  <sheetData>
    <row r="1" spans="1:18">
      <c r="A1" s="42" t="str">
        <f>VLOOKUP(E1,词表!A1:B466,2,0)</f>
        <v>垃圾桶</v>
      </c>
      <c r="B1" s="42">
        <v>37</v>
      </c>
      <c r="C1" s="40" t="e">
        <f>ROUND((B1/$G$3)*$H$3,0)</f>
        <v>#DIV/0!</v>
      </c>
      <c r="D1" s="40" t="e">
        <f>ROUND((B1/$G$3)*$I$3,0)</f>
        <v>#DIV/0!</v>
      </c>
      <c r="E1" s="43" t="s">
        <v>500</v>
      </c>
      <c r="G1" s="19" t="str">
        <f>VLOOKUP(E1,P:Q,2,0)</f>
        <v>https://item.taobao.com/item.htm?spm=a1z10.1-c.w137644-22463256507.39.43d3414asnee2M&amp;id=730331671284</v>
      </c>
      <c r="H1" s="17"/>
      <c r="I1" s="17"/>
      <c r="J1" s="17"/>
      <c r="L1" s="16"/>
      <c r="M1" s="16"/>
      <c r="P1" s="22" t="s">
        <v>501</v>
      </c>
      <c r="Q1" s="20" t="s">
        <v>499</v>
      </c>
    </row>
    <row r="2" spans="1:18">
      <c r="A2" s="42" t="str">
        <f>VLOOKUP(E2,词表!A2:B467,2,0)</f>
        <v>托特包2022新款</v>
      </c>
      <c r="B2" s="42">
        <v>17</v>
      </c>
      <c r="C2" s="40" t="e">
        <f t="shared" ref="C2:C10" si="0">ROUND((B2/$G$3)*$H$3,0)</f>
        <v>#DIV/0!</v>
      </c>
      <c r="D2" s="40" t="e">
        <f t="shared" ref="D2:D10" si="1">ROUND((B2/$G$3)*$I$3,0)</f>
        <v>#DIV/0!</v>
      </c>
      <c r="E2" s="43" t="s">
        <v>490</v>
      </c>
      <c r="G2" t="s">
        <v>457</v>
      </c>
      <c r="H2" t="s">
        <v>459</v>
      </c>
      <c r="I2" t="s">
        <v>458</v>
      </c>
      <c r="J2" s="35">
        <f>VLOOKUP(E1,P:R,3,0)</f>
        <v>0</v>
      </c>
      <c r="L2" s="16"/>
      <c r="M2" s="16"/>
      <c r="P2" s="22" t="s">
        <v>545</v>
      </c>
      <c r="Q2" s="20" t="s">
        <v>567</v>
      </c>
    </row>
    <row r="3" spans="1:18">
      <c r="A3" s="42" t="str">
        <f>VLOOKUP(E3,词表!A3:B468,2,0)</f>
        <v>单肩托特包</v>
      </c>
      <c r="B3" s="42">
        <v>16</v>
      </c>
      <c r="C3" s="40" t="e">
        <f t="shared" si="0"/>
        <v>#DIV/0!</v>
      </c>
      <c r="D3" s="40" t="e">
        <f t="shared" si="1"/>
        <v>#DIV/0!</v>
      </c>
      <c r="E3" s="43" t="s">
        <v>491</v>
      </c>
      <c r="G3" s="39">
        <f>J2*0.8</f>
        <v>0</v>
      </c>
      <c r="H3" s="37">
        <f>J2*0.08</f>
        <v>0</v>
      </c>
      <c r="I3" s="37">
        <f>J2*0.12</f>
        <v>0</v>
      </c>
      <c r="J3" s="37"/>
      <c r="L3" s="16"/>
      <c r="M3" s="16"/>
      <c r="P3" s="22" t="s">
        <v>587</v>
      </c>
      <c r="Q3" s="20" t="s">
        <v>613</v>
      </c>
      <c r="R3">
        <v>30</v>
      </c>
    </row>
    <row r="4" spans="1:18">
      <c r="A4" s="42" t="str">
        <f>VLOOKUP(E4,词表!A4:B469,2,0)</f>
        <v>托特包大容量</v>
      </c>
      <c r="B4" s="42">
        <v>12</v>
      </c>
      <c r="C4" s="40" t="e">
        <f t="shared" si="0"/>
        <v>#DIV/0!</v>
      </c>
      <c r="D4" s="40" t="e">
        <f t="shared" si="1"/>
        <v>#DIV/0!</v>
      </c>
      <c r="E4" s="43" t="s">
        <v>492</v>
      </c>
      <c r="F4" s="17" t="s">
        <v>461</v>
      </c>
      <c r="G4" s="36">
        <f>SUM(B:B)</f>
        <v>120</v>
      </c>
      <c r="H4" s="38" t="e">
        <f>SUM(C:C)</f>
        <v>#DIV/0!</v>
      </c>
      <c r="I4" s="38" t="e">
        <f>SUM(D:D)</f>
        <v>#DIV/0!</v>
      </c>
      <c r="J4" s="36" t="e">
        <f>SUM(G4:I4)</f>
        <v>#DIV/0!</v>
      </c>
      <c r="L4" s="16"/>
      <c r="M4" s="16"/>
      <c r="P4" s="22" t="s">
        <v>8</v>
      </c>
      <c r="Q4" s="19" t="s">
        <v>9</v>
      </c>
    </row>
    <row r="5" spans="1:18">
      <c r="A5" s="42" t="str">
        <f>VLOOKUP(E5,词表!A5:B470,2,0)</f>
        <v>手提托特包</v>
      </c>
      <c r="B5" s="42">
        <v>10</v>
      </c>
      <c r="C5" s="40" t="e">
        <f t="shared" si="0"/>
        <v>#DIV/0!</v>
      </c>
      <c r="D5" s="40" t="e">
        <f t="shared" si="1"/>
        <v>#DIV/0!</v>
      </c>
      <c r="E5" s="43" t="s">
        <v>493</v>
      </c>
      <c r="G5" s="17"/>
      <c r="H5" s="17"/>
      <c r="I5" s="17"/>
      <c r="J5" s="17" t="s">
        <v>460</v>
      </c>
      <c r="L5" s="16"/>
      <c r="M5" s="16"/>
      <c r="P5" s="22"/>
      <c r="Q5" s="20"/>
    </row>
    <row r="6" spans="1:18">
      <c r="A6" s="42" t="str">
        <f>VLOOKUP(E6,词表!A6:B471,2,0)</f>
        <v>真皮托特包</v>
      </c>
      <c r="B6" s="42">
        <v>9</v>
      </c>
      <c r="C6" s="40" t="e">
        <f t="shared" si="0"/>
        <v>#DIV/0!</v>
      </c>
      <c r="D6" s="40" t="e">
        <f t="shared" si="1"/>
        <v>#DIV/0!</v>
      </c>
      <c r="E6" s="43" t="s">
        <v>494</v>
      </c>
      <c r="G6" s="17"/>
      <c r="H6" s="17"/>
      <c r="I6" s="17"/>
      <c r="L6" s="16"/>
      <c r="M6" s="16"/>
      <c r="P6" s="22"/>
      <c r="Q6" s="19"/>
    </row>
    <row r="7" spans="1:18">
      <c r="A7" s="42" t="str">
        <f>VLOOKUP(E7,词表!A7:B472,2,0)</f>
        <v>托特包女高级感</v>
      </c>
      <c r="B7" s="42">
        <v>7</v>
      </c>
      <c r="C7" s="40" t="e">
        <f t="shared" si="0"/>
        <v>#DIV/0!</v>
      </c>
      <c r="D7" s="40" t="e">
        <f t="shared" si="1"/>
        <v>#DIV/0!</v>
      </c>
      <c r="E7" s="43" t="s">
        <v>495</v>
      </c>
      <c r="G7" s="17"/>
      <c r="H7" s="17"/>
      <c r="I7" s="17"/>
      <c r="J7" s="17"/>
      <c r="L7" s="16"/>
      <c r="M7" s="16"/>
      <c r="P7" s="22"/>
      <c r="Q7" s="19"/>
    </row>
    <row r="8" spans="1:18">
      <c r="A8" s="42" t="str">
        <f>VLOOKUP(E8,词表!A8:B473,2,0)</f>
        <v>真皮女包斜挎包</v>
      </c>
      <c r="B8" s="42">
        <v>6</v>
      </c>
      <c r="C8" s="40" t="e">
        <f t="shared" si="0"/>
        <v>#DIV/0!</v>
      </c>
      <c r="D8" s="40" t="e">
        <f t="shared" si="1"/>
        <v>#DIV/0!</v>
      </c>
      <c r="E8" s="43" t="s">
        <v>496</v>
      </c>
      <c r="G8" s="17"/>
      <c r="H8" s="17"/>
      <c r="I8" s="17"/>
      <c r="J8" s="17"/>
      <c r="L8" s="16"/>
      <c r="M8" s="16"/>
      <c r="P8" s="22"/>
      <c r="Q8" s="21"/>
    </row>
    <row r="9" spans="1:18">
      <c r="A9" s="42" t="str">
        <f>VLOOKUP(E9,词表!A9:B474,2,0)</f>
        <v>真皮女包2022新款</v>
      </c>
      <c r="B9" s="42">
        <v>3</v>
      </c>
      <c r="C9" s="40" t="e">
        <f t="shared" si="0"/>
        <v>#DIV/0!</v>
      </c>
      <c r="D9" s="40" t="e">
        <f t="shared" si="1"/>
        <v>#DIV/0!</v>
      </c>
      <c r="E9" s="43" t="s">
        <v>497</v>
      </c>
      <c r="P9" s="22"/>
      <c r="Q9" s="21"/>
    </row>
    <row r="10" spans="1:18">
      <c r="A10" s="42" t="str">
        <f>VLOOKUP(E10,词表!A10:B475,2,0)</f>
        <v>新款真皮女包</v>
      </c>
      <c r="B10" s="42">
        <v>3</v>
      </c>
      <c r="C10" s="40" t="e">
        <f t="shared" si="0"/>
        <v>#DIV/0!</v>
      </c>
      <c r="D10" s="40" t="e">
        <f t="shared" si="1"/>
        <v>#DIV/0!</v>
      </c>
      <c r="E10" s="43" t="s">
        <v>498</v>
      </c>
      <c r="P10" s="22"/>
      <c r="Q10" s="21"/>
    </row>
    <row r="11" spans="1:18">
      <c r="C11" s="40"/>
      <c r="P11" s="22"/>
      <c r="Q11" s="21"/>
    </row>
    <row r="12" spans="1:18">
      <c r="C12" s="40"/>
      <c r="P12" s="22"/>
      <c r="Q12" s="21"/>
    </row>
    <row r="13" spans="1:18">
      <c r="C13" s="40"/>
      <c r="P13" s="22"/>
      <c r="Q13" s="21"/>
    </row>
    <row r="14" spans="1:18">
      <c r="C14" s="40"/>
      <c r="P14" s="22"/>
      <c r="Q14" s="21"/>
    </row>
    <row r="15" spans="1:18">
      <c r="C15" s="40"/>
      <c r="P15" s="22"/>
      <c r="Q15" s="20"/>
    </row>
    <row r="16" spans="1:18">
      <c r="C16" s="40"/>
      <c r="P16" s="22"/>
      <c r="Q16" s="21"/>
    </row>
    <row r="17" spans="3:17">
      <c r="C17" s="40"/>
      <c r="P17" s="22"/>
      <c r="Q17" s="21"/>
    </row>
    <row r="18" spans="3:17">
      <c r="C18" s="40"/>
      <c r="P18" s="22"/>
      <c r="Q18" s="21"/>
    </row>
    <row r="19" spans="3:17">
      <c r="C19" s="40"/>
      <c r="P19" s="22"/>
      <c r="Q19" s="21"/>
    </row>
    <row r="20" spans="3:17">
      <c r="C20" s="40"/>
      <c r="P20" s="22"/>
      <c r="Q20" s="21"/>
    </row>
    <row r="21" spans="3:17">
      <c r="C21" s="40"/>
    </row>
    <row r="22" spans="3:17">
      <c r="C22" s="40"/>
    </row>
    <row r="23" spans="3:17">
      <c r="C23" s="40"/>
    </row>
  </sheetData>
  <sortState ref="B1:B10">
    <sortCondition descending="1" ref="B1"/>
  </sortState>
  <phoneticPr fontId="9" type="noConversion"/>
  <dataValidations count="5">
    <dataValidation type="list" allowBlank="1" showInputMessage="1" sqref="F1:F5 E11:E23" xr:uid="{86F9696C-9D36-4964-B6AC-98C8CF8326A6}">
      <formula1>"双层1, 小水1, 小水+1,细带水桶1, bur手提1,圆水桶1, 托特包1, soft1, 铂金包1, 马鞍包1,herbag1,H饺子包1, 菜篮子1, 手提云朵1,汤丽柏琦1,露思同款1,链条云朵1, 反绒手提1,保龄球包1"</formula1>
    </dataValidation>
    <dataValidation type="list" allowBlank="1" showInputMessage="1" showErrorMessage="1" sqref="F6:F9" xr:uid="{68BB82C5-EE19-42C1-940E-D8E0B0521B31}">
      <formula1>"双层1, 小水1, 大水桶1, 圆水桶1, 托特包1, soft1, 铂金包1, 凯荔1, 凯一1, 凯二1, 菜篮子1, 琳迪金扣1, 琳迪银扣1, 琳迪mini1, 花园包1, 帆布花园1"</formula1>
    </dataValidation>
    <dataValidation type="list" allowBlank="1" showInputMessage="1" showErrorMessage="1" sqref="F10:F12" xr:uid="{81E17901-3BC0-423A-9B01-108A381F0DD3}">
      <formula1>"双层,小水,大水桶,圆水桶,托特包,soft,铂金包,凯荔,凯一,凯二,菜篮子,琳迪金扣,琳迪银扣,琳迪mini,花园包,,花园包1,帆布花园"</formula1>
    </dataValidation>
    <dataValidation type="list" allowBlank="1" showInputMessage="1" sqref="E2:E10" xr:uid="{9249D3F6-EC09-4810-9967-40AAE66E3E3A}">
      <formula1>"双层1, 小水1, 小水+1,细带水桶1, bur手提1,圆水桶1, 托特包1, soft1, 铂金包1, 马鞍包1,herbag1,H饺子包1, 菜篮子1, 手提云朵1,汤丽柏琦1,露思同款1,链条云朵1, 反绒手提1,保龄球包1,terrass1,EW1,row十1"</formula1>
    </dataValidation>
    <dataValidation type="list" allowBlank="1" showInputMessage="1" sqref="E1" xr:uid="{33692C59-B2F6-4A1F-9B8F-493979DBB94F}">
      <formula1>"人仔1, 新概念1, 小水+1,细带水桶1"</formula1>
    </dataValidation>
  </dataValidations>
  <hyperlinks>
    <hyperlink ref="Q3" r:id="rId1" xr:uid="{3CB834BF-0D31-47B0-98B0-F052D72A1596}"/>
    <hyperlink ref="Q1" r:id="rId2" xr:uid="{9641DA85-9976-464D-8085-4AF6E542EBA5}"/>
    <hyperlink ref="Q2" r:id="rId3" xr:uid="{BA3A1066-1297-4AB7-9507-2E71D2586A5E}"/>
  </hyperlinks>
  <pageMargins left="0.69930555555555596" right="0.69930555555555596" top="0.75" bottom="0.75" header="0.3" footer="0.3"/>
  <pageSetup paperSize="256" orientation="portrait" horizontalDpi="203" verticalDpi="203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391"/>
  <sheetViews>
    <sheetView topLeftCell="A31" zoomScale="130" zoomScaleNormal="130" workbookViewId="0">
      <selection activeCell="B46" sqref="B46"/>
    </sheetView>
  </sheetViews>
  <sheetFormatPr defaultColWidth="9" defaultRowHeight="14.25"/>
  <cols>
    <col min="1" max="2" width="17.25" customWidth="1"/>
  </cols>
  <sheetData>
    <row r="1" spans="1:10">
      <c r="A1" t="s">
        <v>501</v>
      </c>
      <c r="B1" t="s">
        <v>524</v>
      </c>
      <c r="C1" t="s">
        <v>524</v>
      </c>
      <c r="J1" s="22" t="s">
        <v>317</v>
      </c>
    </row>
    <row r="2" spans="1:10">
      <c r="A2" t="s">
        <v>502</v>
      </c>
      <c r="B2" t="s">
        <v>539</v>
      </c>
      <c r="C2" t="s">
        <v>568</v>
      </c>
      <c r="J2" s="22" t="s">
        <v>330</v>
      </c>
    </row>
    <row r="3" spans="1:10">
      <c r="A3" t="s">
        <v>503</v>
      </c>
      <c r="B3" t="s">
        <v>534</v>
      </c>
      <c r="C3" t="s">
        <v>525</v>
      </c>
      <c r="J3" s="22" t="s">
        <v>331</v>
      </c>
    </row>
    <row r="4" spans="1:10">
      <c r="A4" t="s">
        <v>504</v>
      </c>
      <c r="B4" t="s">
        <v>576</v>
      </c>
      <c r="C4" t="s">
        <v>526</v>
      </c>
      <c r="J4" s="22" t="s">
        <v>354</v>
      </c>
    </row>
    <row r="5" spans="1:10">
      <c r="A5" t="s">
        <v>505</v>
      </c>
      <c r="B5" t="s">
        <v>531</v>
      </c>
      <c r="C5" t="s">
        <v>569</v>
      </c>
      <c r="J5" s="22" t="s">
        <v>355</v>
      </c>
    </row>
    <row r="6" spans="1:10">
      <c r="A6" t="s">
        <v>506</v>
      </c>
      <c r="B6" t="s">
        <v>572</v>
      </c>
      <c r="C6" t="s">
        <v>527</v>
      </c>
    </row>
    <row r="7" spans="1:10">
      <c r="A7" t="s">
        <v>507</v>
      </c>
      <c r="B7" t="s">
        <v>530</v>
      </c>
      <c r="C7" t="s">
        <v>528</v>
      </c>
    </row>
    <row r="8" spans="1:10">
      <c r="A8" t="s">
        <v>508</v>
      </c>
      <c r="B8" t="s">
        <v>573</v>
      </c>
      <c r="C8" t="s">
        <v>529</v>
      </c>
    </row>
    <row r="9" spans="1:10">
      <c r="A9" t="s">
        <v>509</v>
      </c>
      <c r="B9" t="s">
        <v>574</v>
      </c>
      <c r="C9" t="s">
        <v>530</v>
      </c>
    </row>
    <row r="10" spans="1:10">
      <c r="A10" t="s">
        <v>510</v>
      </c>
      <c r="B10" t="s">
        <v>569</v>
      </c>
      <c r="C10" t="s">
        <v>531</v>
      </c>
    </row>
    <row r="11" spans="1:10">
      <c r="A11" t="s">
        <v>511</v>
      </c>
      <c r="B11" t="s">
        <v>575</v>
      </c>
      <c r="C11" t="s">
        <v>532</v>
      </c>
    </row>
    <row r="12" spans="1:10">
      <c r="A12" t="s">
        <v>512</v>
      </c>
      <c r="B12" t="s">
        <v>583</v>
      </c>
      <c r="C12" t="s">
        <v>533</v>
      </c>
    </row>
    <row r="13" spans="1:10">
      <c r="A13" t="s">
        <v>513</v>
      </c>
      <c r="B13" t="s">
        <v>577</v>
      </c>
      <c r="C13" t="s">
        <v>534</v>
      </c>
    </row>
    <row r="14" spans="1:10">
      <c r="A14" t="s">
        <v>514</v>
      </c>
      <c r="B14" t="s">
        <v>578</v>
      </c>
      <c r="C14" t="s">
        <v>535</v>
      </c>
    </row>
    <row r="15" spans="1:10">
      <c r="A15" t="s">
        <v>515</v>
      </c>
      <c r="B15" t="s">
        <v>571</v>
      </c>
      <c r="C15" t="s">
        <v>570</v>
      </c>
    </row>
    <row r="16" spans="1:10">
      <c r="A16" t="s">
        <v>516</v>
      </c>
      <c r="B16" t="s">
        <v>579</v>
      </c>
      <c r="C16" t="s">
        <v>536</v>
      </c>
    </row>
    <row r="17" spans="1:3">
      <c r="A17" t="s">
        <v>517</v>
      </c>
      <c r="B17" t="s">
        <v>527</v>
      </c>
      <c r="C17" t="s">
        <v>537</v>
      </c>
    </row>
    <row r="18" spans="1:3">
      <c r="A18" t="s">
        <v>518</v>
      </c>
      <c r="B18" t="s">
        <v>540</v>
      </c>
      <c r="C18" t="s">
        <v>538</v>
      </c>
    </row>
    <row r="19" spans="1:3">
      <c r="A19" t="s">
        <v>519</v>
      </c>
      <c r="B19" t="s">
        <v>584</v>
      </c>
      <c r="C19" t="s">
        <v>539</v>
      </c>
    </row>
    <row r="20" spans="1:3">
      <c r="A20" t="s">
        <v>520</v>
      </c>
      <c r="B20" t="s">
        <v>580</v>
      </c>
      <c r="C20" t="s">
        <v>540</v>
      </c>
    </row>
    <row r="21" spans="1:3">
      <c r="A21" t="s">
        <v>521</v>
      </c>
      <c r="B21" t="s">
        <v>581</v>
      </c>
      <c r="C21" t="s">
        <v>571</v>
      </c>
    </row>
    <row r="22" spans="1:3">
      <c r="A22" t="s">
        <v>522</v>
      </c>
      <c r="B22" t="s">
        <v>585</v>
      </c>
    </row>
    <row r="23" spans="1:3">
      <c r="A23" t="s">
        <v>523</v>
      </c>
      <c r="B23" s="44" t="s">
        <v>582</v>
      </c>
    </row>
    <row r="26" spans="1:3">
      <c r="A26" t="s">
        <v>545</v>
      </c>
      <c r="B26" t="s">
        <v>524</v>
      </c>
    </row>
    <row r="27" spans="1:3">
      <c r="A27" t="s">
        <v>546</v>
      </c>
      <c r="B27" t="s">
        <v>544</v>
      </c>
    </row>
    <row r="28" spans="1:3">
      <c r="A28" t="s">
        <v>547</v>
      </c>
      <c r="B28" t="s">
        <v>542</v>
      </c>
    </row>
    <row r="29" spans="1:3">
      <c r="A29" t="s">
        <v>548</v>
      </c>
      <c r="B29" t="s">
        <v>540</v>
      </c>
    </row>
    <row r="30" spans="1:3">
      <c r="A30" t="s">
        <v>549</v>
      </c>
      <c r="B30" t="s">
        <v>543</v>
      </c>
    </row>
    <row r="31" spans="1:3">
      <c r="A31" t="s">
        <v>550</v>
      </c>
      <c r="B31" t="s">
        <v>527</v>
      </c>
    </row>
    <row r="32" spans="1:3">
      <c r="A32" t="s">
        <v>551</v>
      </c>
      <c r="B32" t="s">
        <v>528</v>
      </c>
    </row>
    <row r="33" spans="1:2">
      <c r="A33" t="s">
        <v>552</v>
      </c>
      <c r="B33" t="s">
        <v>563</v>
      </c>
    </row>
    <row r="34" spans="1:2">
      <c r="A34" t="s">
        <v>553</v>
      </c>
      <c r="B34" t="s">
        <v>530</v>
      </c>
    </row>
    <row r="35" spans="1:2">
      <c r="A35" t="s">
        <v>554</v>
      </c>
      <c r="B35" t="s">
        <v>564</v>
      </c>
    </row>
    <row r="36" spans="1:2">
      <c r="A36" t="s">
        <v>555</v>
      </c>
      <c r="B36" t="s">
        <v>565</v>
      </c>
    </row>
    <row r="37" spans="1:2">
      <c r="A37" t="s">
        <v>556</v>
      </c>
      <c r="B37" t="s">
        <v>566</v>
      </c>
    </row>
    <row r="38" spans="1:2">
      <c r="A38" t="s">
        <v>557</v>
      </c>
      <c r="B38" t="s">
        <v>534</v>
      </c>
    </row>
    <row r="39" spans="1:2">
      <c r="A39" t="s">
        <v>558</v>
      </c>
      <c r="B39" t="s">
        <v>535</v>
      </c>
    </row>
    <row r="40" spans="1:2">
      <c r="A40" t="s">
        <v>559</v>
      </c>
      <c r="B40" t="s">
        <v>541</v>
      </c>
    </row>
    <row r="41" spans="1:2">
      <c r="A41" t="s">
        <v>560</v>
      </c>
      <c r="B41" t="s">
        <v>536</v>
      </c>
    </row>
    <row r="42" spans="1:2">
      <c r="A42" t="s">
        <v>561</v>
      </c>
      <c r="B42" t="s">
        <v>537</v>
      </c>
    </row>
    <row r="43" spans="1:2">
      <c r="A43" t="s">
        <v>562</v>
      </c>
      <c r="B43" t="s">
        <v>538</v>
      </c>
    </row>
    <row r="46" spans="1:2">
      <c r="A46" t="s">
        <v>587</v>
      </c>
      <c r="B46" t="s">
        <v>601</v>
      </c>
    </row>
    <row r="47" spans="1:2">
      <c r="A47" t="s">
        <v>588</v>
      </c>
      <c r="B47" t="s">
        <v>602</v>
      </c>
    </row>
    <row r="48" spans="1:2">
      <c r="A48" t="s">
        <v>589</v>
      </c>
      <c r="B48" t="s">
        <v>603</v>
      </c>
    </row>
    <row r="49" spans="1:2">
      <c r="A49" t="s">
        <v>590</v>
      </c>
      <c r="B49" s="27" t="s">
        <v>604</v>
      </c>
    </row>
    <row r="50" spans="1:2">
      <c r="A50" t="s">
        <v>591</v>
      </c>
      <c r="B50" t="s">
        <v>605</v>
      </c>
    </row>
    <row r="51" spans="1:2">
      <c r="A51" t="s">
        <v>592</v>
      </c>
      <c r="B51" t="s">
        <v>606</v>
      </c>
    </row>
    <row r="52" spans="1:2">
      <c r="A52" t="s">
        <v>593</v>
      </c>
      <c r="B52" t="s">
        <v>607</v>
      </c>
    </row>
    <row r="53" spans="1:2">
      <c r="A53" t="s">
        <v>594</v>
      </c>
      <c r="B53" t="s">
        <v>608</v>
      </c>
    </row>
    <row r="54" spans="1:2">
      <c r="A54" t="s">
        <v>595</v>
      </c>
      <c r="B54" t="s">
        <v>609</v>
      </c>
    </row>
    <row r="55" spans="1:2">
      <c r="A55" t="s">
        <v>596</v>
      </c>
      <c r="B55" t="s">
        <v>610</v>
      </c>
    </row>
    <row r="56" spans="1:2">
      <c r="A56" t="s">
        <v>597</v>
      </c>
      <c r="B56" t="s">
        <v>611</v>
      </c>
    </row>
    <row r="57" spans="1:2">
      <c r="A57" t="s">
        <v>598</v>
      </c>
      <c r="B57" t="s">
        <v>612</v>
      </c>
    </row>
    <row r="58" spans="1:2">
      <c r="A58" t="s">
        <v>599</v>
      </c>
    </row>
    <row r="59" spans="1:2">
      <c r="A59" t="s">
        <v>600</v>
      </c>
    </row>
    <row r="62" spans="1:2">
      <c r="A62" t="s">
        <v>0</v>
      </c>
      <c r="B62" t="s">
        <v>37</v>
      </c>
    </row>
    <row r="63" spans="1:2">
      <c r="A63" t="s">
        <v>1</v>
      </c>
      <c r="B63" t="s">
        <v>41</v>
      </c>
    </row>
    <row r="64" spans="1:2">
      <c r="A64" t="s">
        <v>2</v>
      </c>
      <c r="B64" t="s">
        <v>375</v>
      </c>
    </row>
    <row r="65" spans="1:2">
      <c r="A65" t="s">
        <v>71</v>
      </c>
      <c r="B65" t="s">
        <v>376</v>
      </c>
    </row>
    <row r="66" spans="1:2">
      <c r="A66" t="s">
        <v>72</v>
      </c>
      <c r="B66" s="15" t="s">
        <v>73</v>
      </c>
    </row>
    <row r="67" spans="1:2">
      <c r="A67" t="s">
        <v>3</v>
      </c>
      <c r="B67" s="15" t="s">
        <v>393</v>
      </c>
    </row>
    <row r="68" spans="1:2">
      <c r="A68" t="s">
        <v>4</v>
      </c>
      <c r="B68" s="15" t="s">
        <v>67</v>
      </c>
    </row>
    <row r="69" spans="1:2">
      <c r="A69" t="s">
        <v>75</v>
      </c>
      <c r="B69" s="15" t="s">
        <v>388</v>
      </c>
    </row>
    <row r="70" spans="1:2">
      <c r="A70" t="s">
        <v>77</v>
      </c>
      <c r="B70" s="15" t="s">
        <v>78</v>
      </c>
    </row>
    <row r="71" spans="1:2">
      <c r="A71" t="s">
        <v>79</v>
      </c>
      <c r="B71" s="15" t="s">
        <v>80</v>
      </c>
    </row>
    <row r="72" spans="1:2">
      <c r="A72" t="s">
        <v>81</v>
      </c>
      <c r="B72" s="8" t="s">
        <v>43</v>
      </c>
    </row>
    <row r="75" spans="1:2">
      <c r="A75" t="s">
        <v>8</v>
      </c>
      <c r="B75" s="8" t="s">
        <v>45</v>
      </c>
    </row>
    <row r="76" spans="1:2">
      <c r="A76" t="s">
        <v>82</v>
      </c>
      <c r="B76" s="8" t="s">
        <v>83</v>
      </c>
    </row>
    <row r="77" spans="1:2">
      <c r="A77" t="s">
        <v>84</v>
      </c>
      <c r="B77" s="8" t="s">
        <v>41</v>
      </c>
    </row>
    <row r="78" spans="1:2">
      <c r="A78" t="s">
        <v>85</v>
      </c>
      <c r="B78" s="8" t="s">
        <v>86</v>
      </c>
    </row>
    <row r="79" spans="1:2">
      <c r="A79" t="s">
        <v>87</v>
      </c>
      <c r="B79" s="8" t="s">
        <v>88</v>
      </c>
    </row>
    <row r="80" spans="1:2">
      <c r="A80" t="s">
        <v>89</v>
      </c>
      <c r="B80" s="8" t="s">
        <v>76</v>
      </c>
    </row>
    <row r="81" spans="1:2">
      <c r="A81" t="s">
        <v>90</v>
      </c>
      <c r="B81" s="8" t="s">
        <v>40</v>
      </c>
    </row>
    <row r="82" spans="1:2">
      <c r="A82" t="s">
        <v>91</v>
      </c>
      <c r="B82" s="8" t="s">
        <v>50</v>
      </c>
    </row>
    <row r="83" spans="1:2">
      <c r="A83" t="s">
        <v>92</v>
      </c>
      <c r="B83" s="8" t="s">
        <v>93</v>
      </c>
    </row>
    <row r="84" spans="1:2">
      <c r="A84" t="s">
        <v>94</v>
      </c>
      <c r="B84" s="8" t="s">
        <v>95</v>
      </c>
    </row>
    <row r="87" spans="1:2">
      <c r="A87" t="s">
        <v>10</v>
      </c>
      <c r="B87" s="8" t="s">
        <v>59</v>
      </c>
    </row>
    <row r="88" spans="1:2">
      <c r="A88" t="s">
        <v>96</v>
      </c>
      <c r="B88" s="8" t="s">
        <v>60</v>
      </c>
    </row>
    <row r="89" spans="1:2">
      <c r="A89" t="s">
        <v>97</v>
      </c>
      <c r="B89" s="8" t="s">
        <v>78</v>
      </c>
    </row>
    <row r="90" spans="1:2">
      <c r="A90" t="s">
        <v>98</v>
      </c>
      <c r="B90" s="8" t="s">
        <v>80</v>
      </c>
    </row>
    <row r="91" spans="1:2">
      <c r="A91" t="s">
        <v>99</v>
      </c>
      <c r="B91" s="8" t="s">
        <v>70</v>
      </c>
    </row>
    <row r="92" spans="1:2">
      <c r="A92" t="s">
        <v>100</v>
      </c>
      <c r="B92" s="8" t="s">
        <v>64</v>
      </c>
    </row>
    <row r="93" spans="1:2">
      <c r="A93" t="s">
        <v>101</v>
      </c>
      <c r="B93" s="8" t="s">
        <v>86</v>
      </c>
    </row>
    <row r="94" spans="1:2">
      <c r="A94" t="s">
        <v>102</v>
      </c>
      <c r="B94" s="8" t="s">
        <v>88</v>
      </c>
    </row>
    <row r="95" spans="1:2">
      <c r="A95" t="s">
        <v>103</v>
      </c>
      <c r="B95" t="s">
        <v>104</v>
      </c>
    </row>
    <row r="96" spans="1:2">
      <c r="A96" t="s">
        <v>105</v>
      </c>
      <c r="B96" t="s">
        <v>106</v>
      </c>
    </row>
    <row r="99" spans="1:2">
      <c r="A99" t="s">
        <v>11</v>
      </c>
      <c r="B99" s="8" t="s">
        <v>61</v>
      </c>
    </row>
    <row r="100" spans="1:2">
      <c r="A100" t="s">
        <v>107</v>
      </c>
      <c r="B100" t="s">
        <v>455</v>
      </c>
    </row>
    <row r="101" spans="1:2">
      <c r="A101" t="s">
        <v>108</v>
      </c>
      <c r="B101" s="8" t="s">
        <v>78</v>
      </c>
    </row>
    <row r="102" spans="1:2">
      <c r="A102" t="s">
        <v>109</v>
      </c>
      <c r="B102" s="8" t="s">
        <v>392</v>
      </c>
    </row>
    <row r="103" spans="1:2">
      <c r="A103" t="s">
        <v>110</v>
      </c>
      <c r="B103" t="s">
        <v>111</v>
      </c>
    </row>
    <row r="104" spans="1:2">
      <c r="A104" t="s">
        <v>112</v>
      </c>
      <c r="B104" s="8" t="s">
        <v>113</v>
      </c>
    </row>
    <row r="105" spans="1:2">
      <c r="A105" t="s">
        <v>114</v>
      </c>
      <c r="B105" s="8" t="s">
        <v>95</v>
      </c>
    </row>
    <row r="106" spans="1:2">
      <c r="A106" t="s">
        <v>115</v>
      </c>
      <c r="B106" s="8" t="s">
        <v>116</v>
      </c>
    </row>
    <row r="107" spans="1:2">
      <c r="A107" t="s">
        <v>117</v>
      </c>
      <c r="B107" s="8" t="s">
        <v>118</v>
      </c>
    </row>
    <row r="108" spans="1:2">
      <c r="A108" t="s">
        <v>119</v>
      </c>
      <c r="B108" s="8" t="s">
        <v>120</v>
      </c>
    </row>
    <row r="111" spans="1:2">
      <c r="A111" t="s">
        <v>12</v>
      </c>
      <c r="B111" s="8" t="s">
        <v>121</v>
      </c>
    </row>
    <row r="112" spans="1:2">
      <c r="A112" t="s">
        <v>122</v>
      </c>
      <c r="B112" s="8" t="s">
        <v>116</v>
      </c>
    </row>
    <row r="113" spans="1:2">
      <c r="A113" t="s">
        <v>123</v>
      </c>
      <c r="B113" s="8" t="s">
        <v>118</v>
      </c>
    </row>
    <row r="114" spans="1:2">
      <c r="A114" t="s">
        <v>124</v>
      </c>
      <c r="B114" s="8" t="s">
        <v>120</v>
      </c>
    </row>
    <row r="115" spans="1:2">
      <c r="A115" t="s">
        <v>125</v>
      </c>
      <c r="B115" s="8" t="s">
        <v>126</v>
      </c>
    </row>
    <row r="116" spans="1:2">
      <c r="A116" t="s">
        <v>127</v>
      </c>
      <c r="B116" s="8" t="s">
        <v>128</v>
      </c>
    </row>
    <row r="117" spans="1:2">
      <c r="A117" t="s">
        <v>129</v>
      </c>
      <c r="B117" s="8" t="s">
        <v>86</v>
      </c>
    </row>
    <row r="118" spans="1:2">
      <c r="A118" t="s">
        <v>130</v>
      </c>
      <c r="B118" s="8" t="s">
        <v>45</v>
      </c>
    </row>
    <row r="119" spans="1:2">
      <c r="A119" t="s">
        <v>131</v>
      </c>
      <c r="B119" s="8" t="s">
        <v>132</v>
      </c>
    </row>
    <row r="120" spans="1:2">
      <c r="A120" t="s">
        <v>133</v>
      </c>
      <c r="B120" s="8" t="s">
        <v>134</v>
      </c>
    </row>
    <row r="121" spans="1:2">
      <c r="A121" t="s">
        <v>135</v>
      </c>
      <c r="B121" s="8" t="s">
        <v>136</v>
      </c>
    </row>
    <row r="122" spans="1:2">
      <c r="A122" t="s">
        <v>137</v>
      </c>
      <c r="B122" s="8" t="s">
        <v>138</v>
      </c>
    </row>
    <row r="123" spans="1:2">
      <c r="A123" t="s">
        <v>139</v>
      </c>
      <c r="B123" s="8" t="s">
        <v>140</v>
      </c>
    </row>
    <row r="126" spans="1:2">
      <c r="A126" t="s">
        <v>13</v>
      </c>
      <c r="B126" t="s">
        <v>352</v>
      </c>
    </row>
    <row r="127" spans="1:2">
      <c r="A127" t="s">
        <v>25</v>
      </c>
      <c r="B127" t="s">
        <v>141</v>
      </c>
    </row>
    <row r="128" spans="1:2">
      <c r="A128" t="s">
        <v>26</v>
      </c>
      <c r="B128" t="s">
        <v>132</v>
      </c>
    </row>
    <row r="129" spans="1:2">
      <c r="A129" t="s">
        <v>27</v>
      </c>
      <c r="B129" t="s">
        <v>113</v>
      </c>
    </row>
    <row r="130" spans="1:2">
      <c r="A130" t="s">
        <v>28</v>
      </c>
      <c r="B130" t="s">
        <v>86</v>
      </c>
    </row>
    <row r="131" spans="1:2">
      <c r="A131" t="s">
        <v>29</v>
      </c>
      <c r="B131" t="s">
        <v>88</v>
      </c>
    </row>
    <row r="132" spans="1:2">
      <c r="A132" t="s">
        <v>30</v>
      </c>
      <c r="B132" t="s">
        <v>328</v>
      </c>
    </row>
    <row r="133" spans="1:2">
      <c r="A133" t="s">
        <v>144</v>
      </c>
      <c r="B133" s="25" t="s">
        <v>329</v>
      </c>
    </row>
    <row r="134" spans="1:2">
      <c r="A134" t="s">
        <v>145</v>
      </c>
      <c r="B134" s="25" t="s">
        <v>351</v>
      </c>
    </row>
    <row r="135" spans="1:2">
      <c r="A135" t="s">
        <v>146</v>
      </c>
      <c r="B135" s="25" t="s">
        <v>389</v>
      </c>
    </row>
    <row r="138" spans="1:2">
      <c r="A138" t="s">
        <v>317</v>
      </c>
      <c r="B138" s="23" t="s">
        <v>303</v>
      </c>
    </row>
    <row r="139" spans="1:2">
      <c r="A139" t="s">
        <v>318</v>
      </c>
      <c r="B139" s="23" t="s">
        <v>177</v>
      </c>
    </row>
    <row r="140" spans="1:2">
      <c r="A140" t="s">
        <v>319</v>
      </c>
      <c r="B140" s="23" t="s">
        <v>455</v>
      </c>
    </row>
    <row r="141" spans="1:2">
      <c r="A141" t="s">
        <v>320</v>
      </c>
      <c r="B141" s="23" t="s">
        <v>138</v>
      </c>
    </row>
    <row r="142" spans="1:2">
      <c r="A142" t="s">
        <v>321</v>
      </c>
      <c r="B142" s="23" t="s">
        <v>140</v>
      </c>
    </row>
    <row r="143" spans="1:2">
      <c r="A143" t="s">
        <v>322</v>
      </c>
      <c r="B143" s="23" t="s">
        <v>86</v>
      </c>
    </row>
    <row r="144" spans="1:2">
      <c r="A144" t="s">
        <v>323</v>
      </c>
      <c r="B144" s="23" t="s">
        <v>147</v>
      </c>
    </row>
    <row r="145" spans="1:2">
      <c r="A145" t="s">
        <v>324</v>
      </c>
      <c r="B145" s="23" t="s">
        <v>151</v>
      </c>
    </row>
    <row r="146" spans="1:2">
      <c r="A146" t="s">
        <v>325</v>
      </c>
      <c r="B146" s="23" t="s">
        <v>104</v>
      </c>
    </row>
    <row r="147" spans="1:2">
      <c r="A147" t="s">
        <v>326</v>
      </c>
      <c r="B147" s="23" t="s">
        <v>311</v>
      </c>
    </row>
    <row r="150" spans="1:2">
      <c r="A150" t="s">
        <v>15</v>
      </c>
      <c r="B150" t="s">
        <v>69</v>
      </c>
    </row>
    <row r="151" spans="1:2">
      <c r="A151" t="s">
        <v>148</v>
      </c>
      <c r="B151" t="s">
        <v>149</v>
      </c>
    </row>
    <row r="152" spans="1:2">
      <c r="A152" t="s">
        <v>150</v>
      </c>
      <c r="B152" t="s">
        <v>151</v>
      </c>
    </row>
    <row r="153" spans="1:2">
      <c r="A153" t="s">
        <v>152</v>
      </c>
      <c r="B153" t="s">
        <v>104</v>
      </c>
    </row>
    <row r="154" spans="1:2">
      <c r="A154" t="s">
        <v>153</v>
      </c>
      <c r="B154" t="s">
        <v>64</v>
      </c>
    </row>
    <row r="155" spans="1:2">
      <c r="A155" t="s">
        <v>154</v>
      </c>
      <c r="B155" t="s">
        <v>59</v>
      </c>
    </row>
    <row r="156" spans="1:2">
      <c r="A156" t="s">
        <v>155</v>
      </c>
      <c r="B156" t="s">
        <v>60</v>
      </c>
    </row>
    <row r="157" spans="1:2">
      <c r="A157" t="s">
        <v>156</v>
      </c>
      <c r="B157" t="s">
        <v>141</v>
      </c>
    </row>
    <row r="158" spans="1:2">
      <c r="A158" t="s">
        <v>157</v>
      </c>
      <c r="B158" t="s">
        <v>142</v>
      </c>
    </row>
    <row r="159" spans="1:2">
      <c r="A159" t="s">
        <v>158</v>
      </c>
      <c r="B159" t="s">
        <v>134</v>
      </c>
    </row>
    <row r="162" spans="1:2">
      <c r="A162" t="s">
        <v>16</v>
      </c>
      <c r="B162" s="23" t="s">
        <v>164</v>
      </c>
    </row>
    <row r="163" spans="1:2">
      <c r="A163" t="s">
        <v>31</v>
      </c>
      <c r="B163" s="23" t="s">
        <v>396</v>
      </c>
    </row>
    <row r="164" spans="1:2">
      <c r="A164" t="s">
        <v>32</v>
      </c>
      <c r="B164" s="23" t="s">
        <v>141</v>
      </c>
    </row>
    <row r="165" spans="1:2">
      <c r="A165" t="s">
        <v>33</v>
      </c>
      <c r="B165" s="23" t="s">
        <v>395</v>
      </c>
    </row>
    <row r="166" spans="1:2">
      <c r="A166" t="s">
        <v>34</v>
      </c>
      <c r="B166" s="23" t="s">
        <v>128</v>
      </c>
    </row>
    <row r="167" spans="1:2">
      <c r="A167" t="s">
        <v>35</v>
      </c>
      <c r="B167" s="23" t="s">
        <v>390</v>
      </c>
    </row>
    <row r="168" spans="1:2">
      <c r="A168" t="s">
        <v>36</v>
      </c>
      <c r="B168" s="23" t="s">
        <v>391</v>
      </c>
    </row>
    <row r="169" spans="1:2">
      <c r="A169" t="s">
        <v>161</v>
      </c>
      <c r="B169" s="23" t="s">
        <v>353</v>
      </c>
    </row>
    <row r="170" spans="1:2">
      <c r="A170" t="s">
        <v>162</v>
      </c>
      <c r="B170" s="24" t="s">
        <v>397</v>
      </c>
    </row>
    <row r="171" spans="1:2">
      <c r="A171" t="s">
        <v>163</v>
      </c>
      <c r="B171" s="23" t="s">
        <v>394</v>
      </c>
    </row>
    <row r="174" spans="1:2">
      <c r="A174" t="s">
        <v>330</v>
      </c>
      <c r="B174" t="s">
        <v>350</v>
      </c>
    </row>
    <row r="175" spans="1:2">
      <c r="A175" t="s">
        <v>332</v>
      </c>
      <c r="B175" t="s">
        <v>254</v>
      </c>
    </row>
    <row r="176" spans="1:2">
      <c r="A176" t="s">
        <v>333</v>
      </c>
      <c r="B176" t="s">
        <v>256</v>
      </c>
    </row>
    <row r="177" spans="1:2">
      <c r="A177" t="s">
        <v>334</v>
      </c>
      <c r="B177" t="s">
        <v>258</v>
      </c>
    </row>
    <row r="178" spans="1:2">
      <c r="A178" t="s">
        <v>335</v>
      </c>
      <c r="B178" t="s">
        <v>126</v>
      </c>
    </row>
    <row r="179" spans="1:2">
      <c r="A179" t="s">
        <v>336</v>
      </c>
      <c r="B179" t="s">
        <v>128</v>
      </c>
    </row>
    <row r="180" spans="1:2">
      <c r="A180" t="s">
        <v>337</v>
      </c>
      <c r="B180" t="s">
        <v>177</v>
      </c>
    </row>
    <row r="181" spans="1:2">
      <c r="A181" t="s">
        <v>338</v>
      </c>
      <c r="B181" t="s">
        <v>136</v>
      </c>
    </row>
    <row r="182" spans="1:2">
      <c r="A182" t="s">
        <v>339</v>
      </c>
      <c r="B182" t="s">
        <v>138</v>
      </c>
    </row>
    <row r="183" spans="1:2">
      <c r="A183" t="s">
        <v>340</v>
      </c>
      <c r="B183" t="s">
        <v>132</v>
      </c>
    </row>
    <row r="186" spans="1:2">
      <c r="A186" t="s">
        <v>331</v>
      </c>
      <c r="B186" t="s">
        <v>141</v>
      </c>
    </row>
    <row r="187" spans="1:2">
      <c r="A187" t="s">
        <v>341</v>
      </c>
      <c r="B187" t="s">
        <v>64</v>
      </c>
    </row>
    <row r="188" spans="1:2">
      <c r="A188" t="s">
        <v>342</v>
      </c>
      <c r="B188" t="s">
        <v>301</v>
      </c>
    </row>
    <row r="189" spans="1:2">
      <c r="A189" t="s">
        <v>343</v>
      </c>
      <c r="B189" t="s">
        <v>59</v>
      </c>
    </row>
    <row r="190" spans="1:2">
      <c r="A190" t="s">
        <v>344</v>
      </c>
      <c r="B190" t="s">
        <v>73</v>
      </c>
    </row>
    <row r="191" spans="1:2">
      <c r="A191" t="s">
        <v>345</v>
      </c>
      <c r="B191" t="s">
        <v>74</v>
      </c>
    </row>
    <row r="192" spans="1:2">
      <c r="A192" t="s">
        <v>346</v>
      </c>
      <c r="B192" t="s">
        <v>86</v>
      </c>
    </row>
    <row r="193" spans="1:2">
      <c r="A193" t="s">
        <v>347</v>
      </c>
      <c r="B193" t="s">
        <v>303</v>
      </c>
    </row>
    <row r="194" spans="1:2">
      <c r="A194" t="s">
        <v>348</v>
      </c>
      <c r="B194" t="s">
        <v>177</v>
      </c>
    </row>
    <row r="195" spans="1:2">
      <c r="A195" t="s">
        <v>349</v>
      </c>
      <c r="B195" t="s">
        <v>113</v>
      </c>
    </row>
    <row r="198" spans="1:2">
      <c r="A198" t="s">
        <v>354</v>
      </c>
      <c r="B198" t="s">
        <v>141</v>
      </c>
    </row>
    <row r="199" spans="1:2">
      <c r="A199" t="s">
        <v>356</v>
      </c>
      <c r="B199" t="s">
        <v>142</v>
      </c>
    </row>
    <row r="200" spans="1:2">
      <c r="A200" t="s">
        <v>357</v>
      </c>
      <c r="B200" t="s">
        <v>143</v>
      </c>
    </row>
    <row r="201" spans="1:2">
      <c r="A201" t="s">
        <v>358</v>
      </c>
      <c r="B201" t="s">
        <v>254</v>
      </c>
    </row>
    <row r="202" spans="1:2">
      <c r="A202" t="s">
        <v>359</v>
      </c>
      <c r="B202" t="s">
        <v>256</v>
      </c>
    </row>
    <row r="203" spans="1:2">
      <c r="A203" t="s">
        <v>360</v>
      </c>
      <c r="B203" t="s">
        <v>258</v>
      </c>
    </row>
    <row r="204" spans="1:2">
      <c r="A204" t="s">
        <v>361</v>
      </c>
      <c r="B204" t="s">
        <v>134</v>
      </c>
    </row>
    <row r="205" spans="1:2">
      <c r="A205" t="s">
        <v>362</v>
      </c>
      <c r="B205" t="s">
        <v>159</v>
      </c>
    </row>
    <row r="206" spans="1:2">
      <c r="A206" t="s">
        <v>363</v>
      </c>
      <c r="B206" t="s">
        <v>136</v>
      </c>
    </row>
    <row r="207" spans="1:2">
      <c r="A207" t="s">
        <v>364</v>
      </c>
      <c r="B207" t="s">
        <v>138</v>
      </c>
    </row>
    <row r="210" spans="1:2">
      <c r="A210" t="s">
        <v>355</v>
      </c>
      <c r="B210" t="s">
        <v>374</v>
      </c>
    </row>
    <row r="211" spans="1:2">
      <c r="A211" t="s">
        <v>365</v>
      </c>
      <c r="B211" t="s">
        <v>126</v>
      </c>
    </row>
    <row r="212" spans="1:2">
      <c r="A212" t="s">
        <v>366</v>
      </c>
      <c r="B212" t="s">
        <v>177</v>
      </c>
    </row>
    <row r="213" spans="1:2">
      <c r="A213" t="s">
        <v>367</v>
      </c>
      <c r="B213" t="s">
        <v>88</v>
      </c>
    </row>
    <row r="214" spans="1:2">
      <c r="A214" t="s">
        <v>368</v>
      </c>
      <c r="B214" t="s">
        <v>76</v>
      </c>
    </row>
    <row r="215" spans="1:2">
      <c r="A215" t="s">
        <v>369</v>
      </c>
      <c r="B215" t="s">
        <v>132</v>
      </c>
    </row>
    <row r="216" spans="1:2">
      <c r="A216" t="s">
        <v>370</v>
      </c>
      <c r="B216" t="s">
        <v>134</v>
      </c>
    </row>
    <row r="217" spans="1:2">
      <c r="A217" t="s">
        <v>371</v>
      </c>
      <c r="B217" t="s">
        <v>159</v>
      </c>
    </row>
    <row r="218" spans="1:2">
      <c r="A218" t="s">
        <v>372</v>
      </c>
      <c r="B218" t="s">
        <v>113</v>
      </c>
    </row>
    <row r="219" spans="1:2">
      <c r="A219" t="s">
        <v>373</v>
      </c>
      <c r="B219" t="s">
        <v>95</v>
      </c>
    </row>
    <row r="222" spans="1:2">
      <c r="A222" t="s">
        <v>378</v>
      </c>
      <c r="B222" t="s">
        <v>64</v>
      </c>
    </row>
    <row r="223" spans="1:2">
      <c r="A223" t="s">
        <v>379</v>
      </c>
      <c r="B223" t="s">
        <v>301</v>
      </c>
    </row>
    <row r="224" spans="1:2">
      <c r="A224" t="s">
        <v>380</v>
      </c>
      <c r="B224" t="s">
        <v>59</v>
      </c>
    </row>
    <row r="225" spans="1:2">
      <c r="A225" t="s">
        <v>381</v>
      </c>
      <c r="B225" t="s">
        <v>60</v>
      </c>
    </row>
    <row r="226" spans="1:2">
      <c r="A226" t="s">
        <v>382</v>
      </c>
      <c r="B226" t="s">
        <v>456</v>
      </c>
    </row>
    <row r="227" spans="1:2">
      <c r="A227" t="s">
        <v>383</v>
      </c>
      <c r="B227" t="s">
        <v>136</v>
      </c>
    </row>
    <row r="228" spans="1:2">
      <c r="A228" t="s">
        <v>384</v>
      </c>
      <c r="B228" t="s">
        <v>306</v>
      </c>
    </row>
    <row r="229" spans="1:2">
      <c r="A229" t="s">
        <v>385</v>
      </c>
      <c r="B229" t="s">
        <v>307</v>
      </c>
    </row>
    <row r="230" spans="1:2">
      <c r="A230" t="s">
        <v>386</v>
      </c>
      <c r="B230" t="s">
        <v>309</v>
      </c>
    </row>
    <row r="231" spans="1:2">
      <c r="A231" t="s">
        <v>387</v>
      </c>
      <c r="B231" t="s">
        <v>73</v>
      </c>
    </row>
    <row r="234" spans="1:2">
      <c r="A234" t="s">
        <v>399</v>
      </c>
      <c r="B234" t="s">
        <v>128</v>
      </c>
    </row>
    <row r="235" spans="1:2">
      <c r="A235" t="s">
        <v>400</v>
      </c>
      <c r="B235" t="s">
        <v>86</v>
      </c>
    </row>
    <row r="236" spans="1:2">
      <c r="A236" t="s">
        <v>401</v>
      </c>
      <c r="B236" t="s">
        <v>147</v>
      </c>
    </row>
    <row r="237" spans="1:2">
      <c r="A237" t="s">
        <v>402</v>
      </c>
      <c r="B237" t="s">
        <v>303</v>
      </c>
    </row>
    <row r="238" spans="1:2">
      <c r="A238" t="s">
        <v>403</v>
      </c>
      <c r="B238" t="s">
        <v>177</v>
      </c>
    </row>
    <row r="239" spans="1:2">
      <c r="A239" t="s">
        <v>404</v>
      </c>
      <c r="B239" t="s">
        <v>136</v>
      </c>
    </row>
    <row r="240" spans="1:2">
      <c r="A240" t="s">
        <v>405</v>
      </c>
      <c r="B240" t="s">
        <v>138</v>
      </c>
    </row>
    <row r="241" spans="1:2">
      <c r="A241" t="s">
        <v>406</v>
      </c>
      <c r="B241" t="s">
        <v>140</v>
      </c>
    </row>
    <row r="242" spans="1:2">
      <c r="A242" t="s">
        <v>407</v>
      </c>
      <c r="B242" t="s">
        <v>73</v>
      </c>
    </row>
    <row r="243" spans="1:2">
      <c r="A243" t="s">
        <v>408</v>
      </c>
      <c r="B243" t="s">
        <v>74</v>
      </c>
    </row>
    <row r="246" spans="1:2">
      <c r="A246" s="22" t="s">
        <v>469</v>
      </c>
      <c r="B246" t="s">
        <v>78</v>
      </c>
    </row>
    <row r="247" spans="1:2">
      <c r="A247" s="22" t="s">
        <v>472</v>
      </c>
      <c r="B247" t="s">
        <v>80</v>
      </c>
    </row>
    <row r="248" spans="1:2">
      <c r="A248" s="22" t="s">
        <v>473</v>
      </c>
      <c r="B248" t="s">
        <v>70</v>
      </c>
    </row>
    <row r="249" spans="1:2">
      <c r="A249" s="22" t="s">
        <v>474</v>
      </c>
      <c r="B249" t="s">
        <v>62</v>
      </c>
    </row>
    <row r="250" spans="1:2">
      <c r="A250" s="22" t="s">
        <v>475</v>
      </c>
      <c r="B250" t="s">
        <v>301</v>
      </c>
    </row>
    <row r="251" spans="1:2">
      <c r="A251" s="22" t="s">
        <v>476</v>
      </c>
      <c r="B251" t="s">
        <v>59</v>
      </c>
    </row>
    <row r="252" spans="1:2">
      <c r="A252" s="22" t="s">
        <v>477</v>
      </c>
      <c r="B252" t="s">
        <v>126</v>
      </c>
    </row>
    <row r="253" spans="1:2">
      <c r="A253" s="22" t="s">
        <v>478</v>
      </c>
      <c r="B253" t="s">
        <v>128</v>
      </c>
    </row>
    <row r="254" spans="1:2">
      <c r="A254" s="22" t="s">
        <v>479</v>
      </c>
      <c r="B254" t="s">
        <v>86</v>
      </c>
    </row>
    <row r="255" spans="1:2">
      <c r="A255" s="22" t="s">
        <v>480</v>
      </c>
      <c r="B255" t="s">
        <v>147</v>
      </c>
    </row>
    <row r="258" spans="1:2">
      <c r="A258" s="22" t="s">
        <v>470</v>
      </c>
      <c r="B258" t="s">
        <v>78</v>
      </c>
    </row>
    <row r="259" spans="1:2">
      <c r="A259" s="22" t="s">
        <v>481</v>
      </c>
      <c r="B259" t="s">
        <v>80</v>
      </c>
    </row>
    <row r="260" spans="1:2">
      <c r="A260" s="22" t="s">
        <v>482</v>
      </c>
      <c r="B260" t="s">
        <v>70</v>
      </c>
    </row>
    <row r="261" spans="1:2">
      <c r="A261" s="22" t="s">
        <v>483</v>
      </c>
      <c r="B261" t="s">
        <v>254</v>
      </c>
    </row>
    <row r="262" spans="1:2">
      <c r="A262" s="22" t="s">
        <v>484</v>
      </c>
      <c r="B262" t="s">
        <v>256</v>
      </c>
    </row>
    <row r="263" spans="1:2">
      <c r="A263" s="22" t="s">
        <v>485</v>
      </c>
      <c r="B263" t="s">
        <v>258</v>
      </c>
    </row>
    <row r="264" spans="1:2">
      <c r="A264" s="22" t="s">
        <v>486</v>
      </c>
      <c r="B264" t="s">
        <v>73</v>
      </c>
    </row>
    <row r="265" spans="1:2">
      <c r="A265" s="22" t="s">
        <v>487</v>
      </c>
      <c r="B265" t="s">
        <v>177</v>
      </c>
    </row>
    <row r="266" spans="1:2">
      <c r="A266" s="22" t="s">
        <v>488</v>
      </c>
      <c r="B266" t="s">
        <v>136</v>
      </c>
    </row>
    <row r="267" spans="1:2">
      <c r="A267" s="22" t="s">
        <v>489</v>
      </c>
      <c r="B267" t="s">
        <v>138</v>
      </c>
    </row>
    <row r="270" spans="1:2">
      <c r="A270" s="22" t="s">
        <v>471</v>
      </c>
      <c r="B270" t="s">
        <v>78</v>
      </c>
    </row>
    <row r="271" spans="1:2">
      <c r="A271" s="22" t="s">
        <v>490</v>
      </c>
      <c r="B271" t="s">
        <v>80</v>
      </c>
    </row>
    <row r="272" spans="1:2">
      <c r="A272" s="22" t="s">
        <v>491</v>
      </c>
      <c r="B272" t="s">
        <v>70</v>
      </c>
    </row>
    <row r="273" spans="1:2">
      <c r="A273" s="22" t="s">
        <v>492</v>
      </c>
      <c r="B273" t="s">
        <v>64</v>
      </c>
    </row>
    <row r="274" spans="1:2">
      <c r="A274" s="22" t="s">
        <v>493</v>
      </c>
      <c r="B274" t="s">
        <v>301</v>
      </c>
    </row>
    <row r="275" spans="1:2">
      <c r="A275" s="22" t="s">
        <v>494</v>
      </c>
      <c r="B275" t="s">
        <v>59</v>
      </c>
    </row>
    <row r="276" spans="1:2">
      <c r="A276" s="22" t="s">
        <v>495</v>
      </c>
      <c r="B276" t="s">
        <v>60</v>
      </c>
    </row>
    <row r="277" spans="1:2">
      <c r="A277" s="22" t="s">
        <v>496</v>
      </c>
      <c r="B277" t="s">
        <v>256</v>
      </c>
    </row>
    <row r="278" spans="1:2">
      <c r="A278" s="22" t="s">
        <v>497</v>
      </c>
      <c r="B278" t="s">
        <v>258</v>
      </c>
    </row>
    <row r="279" spans="1:2">
      <c r="A279" s="22" t="s">
        <v>498</v>
      </c>
      <c r="B279" t="s">
        <v>73</v>
      </c>
    </row>
    <row r="281" spans="1:2">
      <c r="A281" t="s">
        <v>42</v>
      </c>
      <c r="B281" t="s">
        <v>164</v>
      </c>
    </row>
    <row r="282" spans="1:2">
      <c r="A282" t="s">
        <v>165</v>
      </c>
      <c r="B282" t="s">
        <v>141</v>
      </c>
    </row>
    <row r="283" spans="1:2">
      <c r="A283" t="s">
        <v>166</v>
      </c>
      <c r="B283" t="s">
        <v>142</v>
      </c>
    </row>
    <row r="284" spans="1:2">
      <c r="A284" t="s">
        <v>167</v>
      </c>
      <c r="B284" t="s">
        <v>143</v>
      </c>
    </row>
    <row r="285" spans="1:2">
      <c r="A285" t="s">
        <v>168</v>
      </c>
      <c r="B285" t="s">
        <v>169</v>
      </c>
    </row>
    <row r="286" spans="1:2">
      <c r="A286" t="s">
        <v>170</v>
      </c>
      <c r="B286" t="s">
        <v>171</v>
      </c>
    </row>
    <row r="287" spans="1:2">
      <c r="A287" t="s">
        <v>172</v>
      </c>
      <c r="B287" t="s">
        <v>138</v>
      </c>
    </row>
    <row r="288" spans="1:2">
      <c r="A288" t="s">
        <v>173</v>
      </c>
      <c r="B288" t="s">
        <v>136</v>
      </c>
    </row>
    <row r="289" spans="1:2">
      <c r="A289" t="s">
        <v>174</v>
      </c>
      <c r="B289" t="s">
        <v>175</v>
      </c>
    </row>
    <row r="290" spans="1:2">
      <c r="A290" t="s">
        <v>176</v>
      </c>
      <c r="B290" t="s">
        <v>177</v>
      </c>
    </row>
    <row r="293" spans="1:2">
      <c r="A293" t="s">
        <v>44</v>
      </c>
      <c r="B293" t="s">
        <v>164</v>
      </c>
    </row>
    <row r="294" spans="1:2">
      <c r="A294" t="s">
        <v>178</v>
      </c>
      <c r="B294" t="s">
        <v>141</v>
      </c>
    </row>
    <row r="295" spans="1:2">
      <c r="A295" t="s">
        <v>179</v>
      </c>
      <c r="B295" t="s">
        <v>142</v>
      </c>
    </row>
    <row r="296" spans="1:2">
      <c r="A296" t="s">
        <v>180</v>
      </c>
      <c r="B296" t="s">
        <v>143</v>
      </c>
    </row>
    <row r="297" spans="1:2">
      <c r="A297" t="s">
        <v>181</v>
      </c>
      <c r="B297" t="s">
        <v>182</v>
      </c>
    </row>
    <row r="298" spans="1:2">
      <c r="A298" t="s">
        <v>183</v>
      </c>
      <c r="B298" t="s">
        <v>175</v>
      </c>
    </row>
    <row r="299" spans="1:2">
      <c r="A299" t="s">
        <v>184</v>
      </c>
      <c r="B299" t="s">
        <v>177</v>
      </c>
    </row>
    <row r="300" spans="1:2">
      <c r="A300" t="s">
        <v>185</v>
      </c>
      <c r="B300" t="s">
        <v>186</v>
      </c>
    </row>
    <row r="301" spans="1:2">
      <c r="A301" t="s">
        <v>187</v>
      </c>
      <c r="B301" t="s">
        <v>138</v>
      </c>
    </row>
    <row r="302" spans="1:2">
      <c r="A302" t="s">
        <v>188</v>
      </c>
      <c r="B302" t="s">
        <v>136</v>
      </c>
    </row>
    <row r="305" spans="1:2">
      <c r="A305" t="s">
        <v>46</v>
      </c>
      <c r="B305" t="s">
        <v>164</v>
      </c>
    </row>
    <row r="306" spans="1:2">
      <c r="A306" t="s">
        <v>189</v>
      </c>
      <c r="B306" t="s">
        <v>141</v>
      </c>
    </row>
    <row r="307" spans="1:2">
      <c r="A307" t="s">
        <v>190</v>
      </c>
      <c r="B307" t="s">
        <v>142</v>
      </c>
    </row>
    <row r="308" spans="1:2">
      <c r="A308" t="s">
        <v>191</v>
      </c>
      <c r="B308" t="s">
        <v>192</v>
      </c>
    </row>
    <row r="309" spans="1:2">
      <c r="A309" t="s">
        <v>193</v>
      </c>
      <c r="B309" t="s">
        <v>169</v>
      </c>
    </row>
    <row r="310" spans="1:2">
      <c r="A310" t="s">
        <v>194</v>
      </c>
      <c r="B310" t="s">
        <v>195</v>
      </c>
    </row>
    <row r="311" spans="1:2">
      <c r="A311" t="s">
        <v>196</v>
      </c>
      <c r="B311" t="s">
        <v>197</v>
      </c>
    </row>
    <row r="312" spans="1:2">
      <c r="A312" t="s">
        <v>198</v>
      </c>
      <c r="B312" t="s">
        <v>199</v>
      </c>
    </row>
    <row r="313" spans="1:2">
      <c r="A313" t="s">
        <v>200</v>
      </c>
      <c r="B313" t="s">
        <v>201</v>
      </c>
    </row>
    <row r="314" spans="1:2">
      <c r="A314" t="s">
        <v>202</v>
      </c>
      <c r="B314" t="s">
        <v>177</v>
      </c>
    </row>
    <row r="315" spans="1:2">
      <c r="A315" t="s">
        <v>203</v>
      </c>
      <c r="B315" t="s">
        <v>186</v>
      </c>
    </row>
    <row r="316" spans="1:2">
      <c r="A316" t="s">
        <v>204</v>
      </c>
      <c r="B316" t="s">
        <v>138</v>
      </c>
    </row>
    <row r="317" spans="1:2">
      <c r="A317" t="s">
        <v>205</v>
      </c>
      <c r="B317" t="s">
        <v>136</v>
      </c>
    </row>
    <row r="320" spans="1:2">
      <c r="A320" t="s">
        <v>18</v>
      </c>
      <c r="B320" s="8" t="s">
        <v>136</v>
      </c>
    </row>
    <row r="321" spans="1:2">
      <c r="A321" t="s">
        <v>206</v>
      </c>
      <c r="B321" s="8" t="s">
        <v>138</v>
      </c>
    </row>
    <row r="322" spans="1:2">
      <c r="A322" t="s">
        <v>207</v>
      </c>
      <c r="B322" s="8" t="s">
        <v>140</v>
      </c>
    </row>
    <row r="323" spans="1:2">
      <c r="A323" t="s">
        <v>208</v>
      </c>
      <c r="B323" s="8" t="s">
        <v>126</v>
      </c>
    </row>
    <row r="324" spans="1:2">
      <c r="A324" t="s">
        <v>209</v>
      </c>
      <c r="B324" s="8" t="s">
        <v>128</v>
      </c>
    </row>
    <row r="325" spans="1:2">
      <c r="A325" t="s">
        <v>210</v>
      </c>
      <c r="B325" s="8" t="s">
        <v>86</v>
      </c>
    </row>
    <row r="326" spans="1:2">
      <c r="A326" t="s">
        <v>211</v>
      </c>
      <c r="B326" t="s">
        <v>40</v>
      </c>
    </row>
    <row r="327" spans="1:2">
      <c r="A327" t="s">
        <v>212</v>
      </c>
      <c r="B327" t="s">
        <v>50</v>
      </c>
    </row>
    <row r="328" spans="1:2">
      <c r="A328" t="s">
        <v>213</v>
      </c>
      <c r="B328" t="s">
        <v>53</v>
      </c>
    </row>
    <row r="329" spans="1:2">
      <c r="A329" t="s">
        <v>214</v>
      </c>
      <c r="B329" t="s">
        <v>48</v>
      </c>
    </row>
    <row r="330" spans="1:2">
      <c r="A330" t="s">
        <v>215</v>
      </c>
      <c r="B330" t="s">
        <v>216</v>
      </c>
    </row>
    <row r="331" spans="1:2">
      <c r="A331" t="s">
        <v>217</v>
      </c>
      <c r="B331" t="s">
        <v>57</v>
      </c>
    </row>
    <row r="332" spans="1:2">
      <c r="A332" t="s">
        <v>218</v>
      </c>
      <c r="B332" t="s">
        <v>51</v>
      </c>
    </row>
    <row r="333" spans="1:2">
      <c r="A333" t="s">
        <v>219</v>
      </c>
      <c r="B333" s="8" t="s">
        <v>45</v>
      </c>
    </row>
    <row r="334" spans="1:2">
      <c r="A334" t="s">
        <v>220</v>
      </c>
      <c r="B334" s="8" t="s">
        <v>83</v>
      </c>
    </row>
    <row r="337" spans="1:2">
      <c r="A337" t="s">
        <v>19</v>
      </c>
      <c r="B337" s="8" t="s">
        <v>138</v>
      </c>
    </row>
    <row r="338" spans="1:2">
      <c r="A338" t="s">
        <v>221</v>
      </c>
      <c r="B338" s="8" t="s">
        <v>140</v>
      </c>
    </row>
    <row r="339" spans="1:2">
      <c r="A339" t="s">
        <v>222</v>
      </c>
      <c r="B339" s="8" t="s">
        <v>118</v>
      </c>
    </row>
    <row r="340" spans="1:2">
      <c r="A340" t="s">
        <v>223</v>
      </c>
      <c r="B340" s="8" t="s">
        <v>120</v>
      </c>
    </row>
    <row r="341" spans="1:2">
      <c r="A341" t="s">
        <v>224</v>
      </c>
      <c r="B341" s="8" t="s">
        <v>113</v>
      </c>
    </row>
    <row r="342" spans="1:2">
      <c r="A342" t="s">
        <v>225</v>
      </c>
      <c r="B342" s="8" t="s">
        <v>95</v>
      </c>
    </row>
    <row r="345" spans="1:2">
      <c r="A345" t="s">
        <v>20</v>
      </c>
      <c r="B345" s="8" t="s">
        <v>138</v>
      </c>
    </row>
    <row r="346" spans="1:2">
      <c r="A346" t="s">
        <v>226</v>
      </c>
      <c r="B346" s="8" t="s">
        <v>140</v>
      </c>
    </row>
    <row r="347" spans="1:2">
      <c r="A347" t="s">
        <v>227</v>
      </c>
      <c r="B347" s="8" t="s">
        <v>118</v>
      </c>
    </row>
    <row r="348" spans="1:2">
      <c r="A348" t="s">
        <v>228</v>
      </c>
      <c r="B348" s="8" t="s">
        <v>120</v>
      </c>
    </row>
    <row r="349" spans="1:2">
      <c r="A349" t="s">
        <v>229</v>
      </c>
      <c r="B349" s="8" t="s">
        <v>113</v>
      </c>
    </row>
    <row r="350" spans="1:2">
      <c r="A350" t="s">
        <v>230</v>
      </c>
      <c r="B350" s="8" t="s">
        <v>95</v>
      </c>
    </row>
    <row r="353" spans="1:2">
      <c r="A353" t="s">
        <v>21</v>
      </c>
      <c r="B353" s="8" t="s">
        <v>113</v>
      </c>
    </row>
    <row r="354" spans="1:2">
      <c r="A354" t="s">
        <v>231</v>
      </c>
      <c r="B354" s="8" t="s">
        <v>95</v>
      </c>
    </row>
    <row r="355" spans="1:2">
      <c r="A355" t="s">
        <v>232</v>
      </c>
      <c r="B355" s="8" t="s">
        <v>88</v>
      </c>
    </row>
    <row r="356" spans="1:2">
      <c r="A356" t="s">
        <v>233</v>
      </c>
      <c r="B356" s="8" t="s">
        <v>76</v>
      </c>
    </row>
    <row r="357" spans="1:2">
      <c r="A357" t="s">
        <v>234</v>
      </c>
      <c r="B357" s="8" t="s">
        <v>159</v>
      </c>
    </row>
    <row r="358" spans="1:2">
      <c r="A358" t="s">
        <v>235</v>
      </c>
      <c r="B358" s="8" t="s">
        <v>160</v>
      </c>
    </row>
    <row r="361" spans="1:2">
      <c r="A361" t="s">
        <v>22</v>
      </c>
      <c r="B361" t="s">
        <v>236</v>
      </c>
    </row>
    <row r="362" spans="1:2">
      <c r="A362" t="s">
        <v>237</v>
      </c>
      <c r="B362" t="s">
        <v>238</v>
      </c>
    </row>
    <row r="363" spans="1:2">
      <c r="A363" t="s">
        <v>239</v>
      </c>
      <c r="B363" t="s">
        <v>240</v>
      </c>
    </row>
    <row r="364" spans="1:2">
      <c r="A364" t="s">
        <v>241</v>
      </c>
      <c r="B364" t="s">
        <v>242</v>
      </c>
    </row>
    <row r="365" spans="1:2">
      <c r="A365" t="s">
        <v>243</v>
      </c>
      <c r="B365" t="s">
        <v>244</v>
      </c>
    </row>
    <row r="366" spans="1:2">
      <c r="A366" t="s">
        <v>245</v>
      </c>
      <c r="B366" t="s">
        <v>246</v>
      </c>
    </row>
    <row r="369" spans="1:2">
      <c r="A369" t="s">
        <v>23</v>
      </c>
      <c r="B369" s="8" t="s">
        <v>247</v>
      </c>
    </row>
    <row r="370" spans="1:2">
      <c r="A370" t="s">
        <v>248</v>
      </c>
      <c r="B370" s="8" t="s">
        <v>138</v>
      </c>
    </row>
    <row r="371" spans="1:2">
      <c r="A371" t="s">
        <v>249</v>
      </c>
      <c r="B371" s="8" t="s">
        <v>140</v>
      </c>
    </row>
    <row r="372" spans="1:2">
      <c r="A372" t="s">
        <v>250</v>
      </c>
      <c r="B372" s="8" t="s">
        <v>128</v>
      </c>
    </row>
    <row r="373" spans="1:2">
      <c r="A373" t="s">
        <v>251</v>
      </c>
      <c r="B373" s="8" t="s">
        <v>86</v>
      </c>
    </row>
    <row r="374" spans="1:2">
      <c r="A374" t="s">
        <v>252</v>
      </c>
      <c r="B374" s="8" t="s">
        <v>116</v>
      </c>
    </row>
    <row r="375" spans="1:2">
      <c r="A375" t="s">
        <v>253</v>
      </c>
      <c r="B375" s="8" t="s">
        <v>254</v>
      </c>
    </row>
    <row r="376" spans="1:2">
      <c r="A376" t="s">
        <v>255</v>
      </c>
      <c r="B376" s="8" t="s">
        <v>256</v>
      </c>
    </row>
    <row r="377" spans="1:2">
      <c r="A377" t="s">
        <v>257</v>
      </c>
      <c r="B377" s="8" t="s">
        <v>258</v>
      </c>
    </row>
    <row r="378" spans="1:2">
      <c r="A378" t="s">
        <v>259</v>
      </c>
      <c r="B378" s="8" t="s">
        <v>76</v>
      </c>
    </row>
    <row r="379" spans="1:2">
      <c r="A379" t="s">
        <v>260</v>
      </c>
      <c r="B379" t="s">
        <v>132</v>
      </c>
    </row>
    <row r="381" spans="1:2">
      <c r="A381" t="s">
        <v>24</v>
      </c>
      <c r="B381" s="8" t="s">
        <v>121</v>
      </c>
    </row>
    <row r="382" spans="1:2">
      <c r="A382" t="s">
        <v>261</v>
      </c>
      <c r="B382" s="8" t="s">
        <v>254</v>
      </c>
    </row>
    <row r="383" spans="1:2">
      <c r="A383" t="s">
        <v>262</v>
      </c>
      <c r="B383" s="8" t="s">
        <v>132</v>
      </c>
    </row>
    <row r="384" spans="1:2">
      <c r="A384" t="s">
        <v>263</v>
      </c>
      <c r="B384" s="8" t="s">
        <v>113</v>
      </c>
    </row>
    <row r="385" spans="1:2">
      <c r="A385" t="s">
        <v>264</v>
      </c>
      <c r="B385" s="8" t="s">
        <v>86</v>
      </c>
    </row>
    <row r="386" spans="1:2">
      <c r="A386" t="s">
        <v>265</v>
      </c>
      <c r="B386" s="8" t="s">
        <v>88</v>
      </c>
    </row>
    <row r="387" spans="1:2">
      <c r="A387" t="s">
        <v>266</v>
      </c>
      <c r="B387" s="8" t="s">
        <v>76</v>
      </c>
    </row>
    <row r="388" spans="1:2">
      <c r="A388" t="s">
        <v>267</v>
      </c>
      <c r="B388" s="8" t="s">
        <v>73</v>
      </c>
    </row>
    <row r="389" spans="1:2">
      <c r="A389" t="s">
        <v>268</v>
      </c>
      <c r="B389" s="8" t="s">
        <v>147</v>
      </c>
    </row>
    <row r="390" spans="1:2">
      <c r="A390" t="s">
        <v>269</v>
      </c>
      <c r="B390" s="8" t="s">
        <v>118</v>
      </c>
    </row>
    <row r="391" spans="1:2">
      <c r="B391" s="8"/>
    </row>
  </sheetData>
  <phoneticPr fontId="9" type="noConversion"/>
  <conditionalFormatting sqref="B23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B65"/>
  <sheetViews>
    <sheetView workbookViewId="0">
      <pane ySplit="1" topLeftCell="A2" activePane="bottomLeft" state="frozen"/>
      <selection pane="bottomLeft" activeCell="M4" sqref="M4:M8"/>
    </sheetView>
  </sheetViews>
  <sheetFormatPr defaultColWidth="9" defaultRowHeight="14.25"/>
  <cols>
    <col min="1" max="1" width="10.625" style="5" customWidth="1"/>
    <col min="2" max="2" width="13.5" style="5" customWidth="1"/>
    <col min="3" max="14" width="12.5" style="5" customWidth="1"/>
    <col min="15" max="15" width="10.625" style="5" customWidth="1"/>
    <col min="16" max="16" width="13.5" style="5" customWidth="1"/>
  </cols>
  <sheetData>
    <row r="1" spans="1:28" s="34" customFormat="1" ht="24.75" customHeight="1">
      <c r="A1" s="32" t="s">
        <v>270</v>
      </c>
      <c r="B1" s="33" t="s">
        <v>271</v>
      </c>
      <c r="C1" s="32" t="s">
        <v>409</v>
      </c>
      <c r="D1" s="33" t="s">
        <v>410</v>
      </c>
      <c r="E1" s="32" t="s">
        <v>411</v>
      </c>
      <c r="F1" s="33" t="s">
        <v>412</v>
      </c>
      <c r="G1" s="32" t="s">
        <v>413</v>
      </c>
      <c r="H1" s="33" t="s">
        <v>414</v>
      </c>
      <c r="I1" s="32" t="s">
        <v>415</v>
      </c>
      <c r="J1" s="33" t="s">
        <v>450</v>
      </c>
      <c r="K1" s="32" t="s">
        <v>464</v>
      </c>
      <c r="L1" s="33" t="s">
        <v>463</v>
      </c>
      <c r="M1" s="32" t="s">
        <v>465</v>
      </c>
      <c r="N1" s="17"/>
      <c r="O1" s="17" t="s">
        <v>272</v>
      </c>
      <c r="P1" s="17" t="s">
        <v>273</v>
      </c>
      <c r="Q1" s="17" t="s">
        <v>274</v>
      </c>
      <c r="R1" s="17" t="s">
        <v>275</v>
      </c>
      <c r="S1" s="17" t="s">
        <v>276</v>
      </c>
      <c r="T1" s="17" t="s">
        <v>277</v>
      </c>
      <c r="U1" s="17" t="s">
        <v>278</v>
      </c>
      <c r="V1" s="17" t="s">
        <v>279</v>
      </c>
      <c r="W1" s="17" t="s">
        <v>280</v>
      </c>
      <c r="X1" s="17" t="s">
        <v>281</v>
      </c>
      <c r="Y1" s="17" t="s">
        <v>282</v>
      </c>
      <c r="Z1" s="17" t="s">
        <v>283</v>
      </c>
      <c r="AA1" s="17" t="s">
        <v>284</v>
      </c>
      <c r="AB1" s="17" t="s">
        <v>285</v>
      </c>
    </row>
    <row r="2" spans="1:28">
      <c r="A2" s="6" t="s">
        <v>5</v>
      </c>
      <c r="B2" s="6" t="s">
        <v>6</v>
      </c>
      <c r="C2" s="20" t="s">
        <v>454</v>
      </c>
      <c r="D2" s="21" t="s">
        <v>327</v>
      </c>
      <c r="E2" s="21" t="s">
        <v>377</v>
      </c>
      <c r="F2" s="21" t="s">
        <v>398</v>
      </c>
      <c r="G2" s="21" t="s">
        <v>14</v>
      </c>
      <c r="H2" s="21" t="s">
        <v>17</v>
      </c>
      <c r="I2" s="20" t="s">
        <v>7</v>
      </c>
      <c r="K2" s="12" t="s">
        <v>468</v>
      </c>
      <c r="L2" s="12" t="s">
        <v>467</v>
      </c>
      <c r="M2" s="20" t="s">
        <v>466</v>
      </c>
      <c r="O2" s="6"/>
      <c r="P2" s="6"/>
      <c r="Q2" s="6" t="s">
        <v>288</v>
      </c>
      <c r="R2" s="6" t="s">
        <v>289</v>
      </c>
      <c r="S2" s="6" t="s">
        <v>290</v>
      </c>
      <c r="T2" s="6"/>
      <c r="U2" s="12"/>
      <c r="V2" s="12"/>
    </row>
    <row r="4" spans="1:28">
      <c r="A4" s="7" t="s">
        <v>293</v>
      </c>
      <c r="B4" s="7" t="s">
        <v>293</v>
      </c>
      <c r="C4" s="23" t="s">
        <v>78</v>
      </c>
      <c r="D4" s="7" t="s">
        <v>447</v>
      </c>
      <c r="E4" s="23" t="s">
        <v>78</v>
      </c>
      <c r="F4" s="7" t="s">
        <v>438</v>
      </c>
      <c r="G4" s="7" t="s">
        <v>429</v>
      </c>
      <c r="H4" s="7" t="s">
        <v>424</v>
      </c>
      <c r="I4" s="23" t="s">
        <v>78</v>
      </c>
      <c r="J4" s="23" t="s">
        <v>306</v>
      </c>
      <c r="K4" s="23" t="s">
        <v>78</v>
      </c>
      <c r="L4" s="23" t="s">
        <v>78</v>
      </c>
      <c r="M4" s="23" t="s">
        <v>78</v>
      </c>
      <c r="N4" s="7"/>
      <c r="O4" s="8" t="s">
        <v>291</v>
      </c>
      <c r="P4" s="8" t="s">
        <v>286</v>
      </c>
      <c r="Q4" s="8" t="s">
        <v>294</v>
      </c>
      <c r="R4" s="8" t="s">
        <v>294</v>
      </c>
      <c r="S4" s="8" t="s">
        <v>294</v>
      </c>
      <c r="U4" s="8" t="s">
        <v>37</v>
      </c>
      <c r="V4" s="8" t="s">
        <v>292</v>
      </c>
      <c r="W4" s="8" t="s">
        <v>292</v>
      </c>
      <c r="X4" s="13" t="s">
        <v>78</v>
      </c>
      <c r="Y4" s="13" t="s">
        <v>78</v>
      </c>
    </row>
    <row r="5" spans="1:28">
      <c r="A5" s="7" t="s">
        <v>78</v>
      </c>
      <c r="B5" s="7" t="s">
        <v>78</v>
      </c>
      <c r="C5" s="23" t="s">
        <v>80</v>
      </c>
      <c r="D5" s="30" t="s">
        <v>303</v>
      </c>
      <c r="E5" s="23" t="s">
        <v>80</v>
      </c>
      <c r="F5" s="7" t="s">
        <v>439</v>
      </c>
      <c r="G5" s="9" t="s">
        <v>164</v>
      </c>
      <c r="H5" s="7" t="s">
        <v>424</v>
      </c>
      <c r="I5" s="23" t="s">
        <v>416</v>
      </c>
      <c r="J5" s="23" t="s">
        <v>307</v>
      </c>
      <c r="K5" s="23" t="s">
        <v>80</v>
      </c>
      <c r="L5" s="23" t="s">
        <v>80</v>
      </c>
      <c r="M5" s="23" t="s">
        <v>80</v>
      </c>
      <c r="N5" s="7"/>
      <c r="U5" s="8" t="s">
        <v>38</v>
      </c>
      <c r="V5" s="10" t="s">
        <v>121</v>
      </c>
      <c r="W5" s="11" t="s">
        <v>121</v>
      </c>
      <c r="X5" s="13" t="s">
        <v>80</v>
      </c>
      <c r="Y5" s="13" t="s">
        <v>80</v>
      </c>
    </row>
    <row r="6" spans="1:28">
      <c r="A6" s="7" t="s">
        <v>295</v>
      </c>
      <c r="B6" s="7" t="s">
        <v>295</v>
      </c>
      <c r="C6" s="23" t="s">
        <v>63</v>
      </c>
      <c r="D6" s="30" t="s">
        <v>177</v>
      </c>
      <c r="E6" s="23" t="s">
        <v>420</v>
      </c>
      <c r="F6" s="7" t="s">
        <v>440</v>
      </c>
      <c r="G6" s="30" t="s">
        <v>141</v>
      </c>
      <c r="H6" s="7" t="s">
        <v>425</v>
      </c>
      <c r="I6" s="23" t="s">
        <v>70</v>
      </c>
      <c r="J6" s="23" t="s">
        <v>116</v>
      </c>
      <c r="K6" s="23" t="s">
        <v>70</v>
      </c>
      <c r="L6" s="23" t="s">
        <v>70</v>
      </c>
      <c r="M6" s="23" t="s">
        <v>70</v>
      </c>
      <c r="N6" s="9"/>
      <c r="O6" s="8" t="s">
        <v>272</v>
      </c>
      <c r="P6" s="8" t="s">
        <v>296</v>
      </c>
      <c r="Q6" s="8" t="s">
        <v>254</v>
      </c>
      <c r="R6" s="8" t="s">
        <v>254</v>
      </c>
      <c r="S6" s="8" t="s">
        <v>126</v>
      </c>
      <c r="U6" s="10" t="s">
        <v>93</v>
      </c>
      <c r="V6" s="10"/>
      <c r="W6" s="14"/>
      <c r="X6" s="8" t="s">
        <v>63</v>
      </c>
      <c r="Y6" s="13" t="s">
        <v>70</v>
      </c>
    </row>
    <row r="7" spans="1:28">
      <c r="A7" s="7" t="s">
        <v>242</v>
      </c>
      <c r="B7" s="7" t="s">
        <v>242</v>
      </c>
      <c r="C7" s="23" t="s">
        <v>420</v>
      </c>
      <c r="D7" s="30" t="s">
        <v>136</v>
      </c>
      <c r="E7" s="30" t="s">
        <v>64</v>
      </c>
      <c r="F7" s="7"/>
      <c r="G7" s="30" t="s">
        <v>142</v>
      </c>
      <c r="H7" s="30" t="s">
        <v>142</v>
      </c>
      <c r="I7" s="23" t="s">
        <v>64</v>
      </c>
      <c r="J7" s="23" t="s">
        <v>118</v>
      </c>
      <c r="K7" s="23" t="s">
        <v>64</v>
      </c>
      <c r="L7" s="23" t="s">
        <v>64</v>
      </c>
      <c r="M7" s="23" t="s">
        <v>64</v>
      </c>
      <c r="N7" s="7"/>
      <c r="O7" s="8" t="s">
        <v>297</v>
      </c>
      <c r="P7" s="8" t="s">
        <v>298</v>
      </c>
      <c r="Q7" s="8" t="s">
        <v>256</v>
      </c>
      <c r="R7" s="8" t="s">
        <v>256</v>
      </c>
      <c r="S7" s="8" t="s">
        <v>128</v>
      </c>
      <c r="U7" s="8" t="s">
        <v>39</v>
      </c>
      <c r="V7" s="8" t="s">
        <v>164</v>
      </c>
      <c r="W7" s="13" t="s">
        <v>132</v>
      </c>
      <c r="X7" s="8" t="s">
        <v>70</v>
      </c>
      <c r="Y7" s="13" t="s">
        <v>64</v>
      </c>
    </row>
    <row r="8" spans="1:28">
      <c r="A8" s="7" t="s">
        <v>63</v>
      </c>
      <c r="B8" s="7" t="s">
        <v>63</v>
      </c>
      <c r="C8" s="23" t="s">
        <v>64</v>
      </c>
      <c r="D8" s="30" t="s">
        <v>138</v>
      </c>
      <c r="E8" s="30" t="s">
        <v>301</v>
      </c>
      <c r="F8" s="30" t="s">
        <v>303</v>
      </c>
      <c r="G8" s="30" t="s">
        <v>143</v>
      </c>
      <c r="H8" s="9" t="s">
        <v>143</v>
      </c>
      <c r="I8" s="9" t="s">
        <v>301</v>
      </c>
      <c r="J8" s="23" t="s">
        <v>120</v>
      </c>
      <c r="K8" s="23" t="s">
        <v>301</v>
      </c>
      <c r="L8" s="23" t="s">
        <v>301</v>
      </c>
      <c r="M8" s="23" t="s">
        <v>301</v>
      </c>
      <c r="N8" s="19"/>
      <c r="P8" s="8" t="s">
        <v>299</v>
      </c>
      <c r="Q8" s="8" t="s">
        <v>258</v>
      </c>
      <c r="R8" s="8" t="s">
        <v>258</v>
      </c>
      <c r="S8" s="8" t="s">
        <v>86</v>
      </c>
      <c r="U8" s="8" t="s">
        <v>300</v>
      </c>
      <c r="V8" s="8" t="s">
        <v>141</v>
      </c>
      <c r="W8" s="13" t="s">
        <v>113</v>
      </c>
      <c r="X8" s="8" t="s">
        <v>64</v>
      </c>
      <c r="Y8" s="8" t="s">
        <v>301</v>
      </c>
    </row>
    <row r="9" spans="1:28">
      <c r="A9" s="7" t="s">
        <v>64</v>
      </c>
      <c r="B9" s="7" t="s">
        <v>64</v>
      </c>
      <c r="C9" s="23" t="s">
        <v>421</v>
      </c>
      <c r="D9" s="30" t="s">
        <v>140</v>
      </c>
      <c r="E9" s="30" t="s">
        <v>59</v>
      </c>
      <c r="F9" s="30" t="s">
        <v>430</v>
      </c>
      <c r="G9" s="7"/>
      <c r="H9" s="7" t="s">
        <v>423</v>
      </c>
      <c r="I9" s="23" t="s">
        <v>59</v>
      </c>
      <c r="J9" s="7"/>
      <c r="K9" s="23" t="s">
        <v>59</v>
      </c>
      <c r="L9" s="23" t="s">
        <v>59</v>
      </c>
      <c r="M9" s="23" t="s">
        <v>59</v>
      </c>
      <c r="N9" s="19"/>
      <c r="O9" s="8" t="s">
        <v>37</v>
      </c>
      <c r="P9" s="8" t="s">
        <v>45</v>
      </c>
      <c r="Q9" s="8" t="s">
        <v>73</v>
      </c>
      <c r="R9" s="8" t="s">
        <v>73</v>
      </c>
      <c r="S9" s="8" t="s">
        <v>147</v>
      </c>
      <c r="U9" s="8" t="s">
        <v>302</v>
      </c>
      <c r="V9" s="8" t="s">
        <v>142</v>
      </c>
      <c r="W9" s="8" t="s">
        <v>95</v>
      </c>
      <c r="X9" s="8" t="s">
        <v>301</v>
      </c>
      <c r="Y9" s="10" t="s">
        <v>59</v>
      </c>
    </row>
    <row r="10" spans="1:28">
      <c r="A10" s="7" t="s">
        <v>304</v>
      </c>
      <c r="B10" s="7" t="s">
        <v>65</v>
      </c>
      <c r="C10" s="23" t="s">
        <v>301</v>
      </c>
      <c r="D10" s="7"/>
      <c r="E10" s="30" t="s">
        <v>60</v>
      </c>
      <c r="F10" s="30" t="s">
        <v>136</v>
      </c>
      <c r="G10" s="23" t="s">
        <v>303</v>
      </c>
      <c r="H10" s="7" t="s">
        <v>426</v>
      </c>
      <c r="I10" s="30" t="s">
        <v>417</v>
      </c>
      <c r="J10" s="23" t="s">
        <v>442</v>
      </c>
      <c r="K10" s="23" t="s">
        <v>60</v>
      </c>
      <c r="L10" s="23" t="s">
        <v>60</v>
      </c>
      <c r="M10" s="23" t="s">
        <v>60</v>
      </c>
      <c r="N10" s="20"/>
      <c r="O10" s="8" t="s">
        <v>38</v>
      </c>
      <c r="P10" s="10" t="s">
        <v>132</v>
      </c>
      <c r="Q10" s="8" t="s">
        <v>74</v>
      </c>
      <c r="R10" s="8" t="s">
        <v>74</v>
      </c>
      <c r="U10" s="8" t="s">
        <v>305</v>
      </c>
      <c r="V10" s="8" t="s">
        <v>143</v>
      </c>
      <c r="X10" s="8" t="s">
        <v>59</v>
      </c>
      <c r="Y10" s="10" t="s">
        <v>60</v>
      </c>
    </row>
    <row r="11" spans="1:28">
      <c r="A11" s="7" t="s">
        <v>65</v>
      </c>
      <c r="B11" s="7" t="s">
        <v>59</v>
      </c>
      <c r="C11" s="23" t="s">
        <v>59</v>
      </c>
      <c r="D11" s="23" t="s">
        <v>431</v>
      </c>
      <c r="E11" s="23" t="s">
        <v>61</v>
      </c>
      <c r="F11" s="30" t="s">
        <v>138</v>
      </c>
      <c r="G11" s="23" t="s">
        <v>430</v>
      </c>
      <c r="H11" s="7" t="s">
        <v>427</v>
      </c>
      <c r="I11" s="23" t="s">
        <v>61</v>
      </c>
      <c r="J11" s="23" t="s">
        <v>256</v>
      </c>
      <c r="K11" s="23" t="s">
        <v>61</v>
      </c>
      <c r="L11" s="23" t="s">
        <v>61</v>
      </c>
      <c r="M11" s="23" t="s">
        <v>61</v>
      </c>
      <c r="N11" s="19"/>
      <c r="O11" s="8" t="s">
        <v>93</v>
      </c>
      <c r="P11" s="8" t="s">
        <v>134</v>
      </c>
      <c r="Q11" s="8" t="s">
        <v>86</v>
      </c>
      <c r="R11" s="8" t="s">
        <v>86</v>
      </c>
      <c r="S11" s="8" t="s">
        <v>303</v>
      </c>
      <c r="U11" s="10" t="s">
        <v>41</v>
      </c>
      <c r="V11" s="10"/>
      <c r="W11" s="8" t="s">
        <v>306</v>
      </c>
      <c r="X11" s="8" t="s">
        <v>60</v>
      </c>
      <c r="Y11" s="10" t="s">
        <v>61</v>
      </c>
    </row>
    <row r="12" spans="1:28">
      <c r="A12" s="7" t="s">
        <v>59</v>
      </c>
      <c r="B12" s="7" t="s">
        <v>61</v>
      </c>
      <c r="C12" s="23" t="s">
        <v>60</v>
      </c>
      <c r="D12" s="23" t="s">
        <v>128</v>
      </c>
      <c r="E12" s="23" t="s">
        <v>62</v>
      </c>
      <c r="F12" s="30" t="s">
        <v>140</v>
      </c>
      <c r="G12" s="9" t="s">
        <v>136</v>
      </c>
      <c r="H12" s="7"/>
      <c r="I12" s="23" t="s">
        <v>62</v>
      </c>
      <c r="J12" s="23" t="s">
        <v>451</v>
      </c>
      <c r="K12" s="23" t="s">
        <v>62</v>
      </c>
      <c r="L12" s="23" t="s">
        <v>62</v>
      </c>
      <c r="M12" s="23" t="s">
        <v>62</v>
      </c>
      <c r="N12" s="20"/>
      <c r="O12" s="8" t="s">
        <v>39</v>
      </c>
      <c r="P12" s="8" t="s">
        <v>159</v>
      </c>
      <c r="Q12" s="8" t="s">
        <v>88</v>
      </c>
      <c r="R12" s="8" t="s">
        <v>88</v>
      </c>
      <c r="S12" s="8" t="s">
        <v>177</v>
      </c>
      <c r="U12" s="8" t="s">
        <v>54</v>
      </c>
      <c r="V12" s="8" t="s">
        <v>78</v>
      </c>
      <c r="W12" s="8" t="s">
        <v>307</v>
      </c>
      <c r="X12" s="13" t="s">
        <v>61</v>
      </c>
      <c r="Y12" s="10" t="s">
        <v>62</v>
      </c>
    </row>
    <row r="13" spans="1:28">
      <c r="A13" s="7" t="s">
        <v>61</v>
      </c>
      <c r="B13" s="7" t="s">
        <v>62</v>
      </c>
      <c r="C13" s="23" t="s">
        <v>61</v>
      </c>
      <c r="D13" s="30" t="s">
        <v>86</v>
      </c>
      <c r="E13" s="23" t="s">
        <v>67</v>
      </c>
      <c r="F13" s="7"/>
      <c r="G13" s="23" t="s">
        <v>435</v>
      </c>
      <c r="H13" s="23" t="s">
        <v>254</v>
      </c>
      <c r="I13" s="23" t="s">
        <v>418</v>
      </c>
      <c r="J13" s="23" t="s">
        <v>73</v>
      </c>
      <c r="K13" s="23" t="s">
        <v>69</v>
      </c>
      <c r="L13" s="23" t="s">
        <v>69</v>
      </c>
      <c r="M13" s="23" t="s">
        <v>67</v>
      </c>
      <c r="N13" s="19"/>
      <c r="O13" s="8" t="s">
        <v>300</v>
      </c>
      <c r="P13" s="8" t="s">
        <v>160</v>
      </c>
      <c r="S13" s="8" t="s">
        <v>136</v>
      </c>
      <c r="U13" s="8" t="s">
        <v>43</v>
      </c>
      <c r="V13" s="8" t="s">
        <v>80</v>
      </c>
      <c r="W13" s="8" t="s">
        <v>116</v>
      </c>
      <c r="X13" s="8" t="s">
        <v>62</v>
      </c>
      <c r="Y13" s="8" t="s">
        <v>67</v>
      </c>
    </row>
    <row r="14" spans="1:28">
      <c r="A14" s="7" t="s">
        <v>62</v>
      </c>
      <c r="B14" s="7" t="s">
        <v>66</v>
      </c>
      <c r="C14" s="23" t="s">
        <v>62</v>
      </c>
      <c r="D14" s="30" t="s">
        <v>147</v>
      </c>
      <c r="E14" s="23" t="s">
        <v>66</v>
      </c>
      <c r="F14" s="23" t="s">
        <v>126</v>
      </c>
      <c r="G14" s="7"/>
      <c r="H14" s="23" t="s">
        <v>258</v>
      </c>
      <c r="I14" s="23" t="s">
        <v>69</v>
      </c>
      <c r="J14" s="23" t="s">
        <v>74</v>
      </c>
      <c r="K14" s="23" t="s">
        <v>104</v>
      </c>
      <c r="L14" s="23" t="s">
        <v>104</v>
      </c>
      <c r="M14" s="23" t="s">
        <v>69</v>
      </c>
      <c r="N14" s="19"/>
      <c r="O14" s="8" t="s">
        <v>302</v>
      </c>
      <c r="Q14" s="8" t="s">
        <v>126</v>
      </c>
      <c r="R14" s="8" t="s">
        <v>126</v>
      </c>
      <c r="S14" s="8" t="s">
        <v>138</v>
      </c>
      <c r="U14" s="8" t="s">
        <v>47</v>
      </c>
      <c r="V14" s="8" t="s">
        <v>63</v>
      </c>
      <c r="W14" s="10" t="s">
        <v>118</v>
      </c>
      <c r="X14" s="8" t="s">
        <v>67</v>
      </c>
      <c r="Y14" s="8" t="s">
        <v>69</v>
      </c>
    </row>
    <row r="15" spans="1:28">
      <c r="A15" s="7" t="s">
        <v>60</v>
      </c>
      <c r="B15" s="7" t="s">
        <v>67</v>
      </c>
      <c r="C15" s="23" t="s">
        <v>67</v>
      </c>
      <c r="D15" s="7"/>
      <c r="E15" s="23" t="s">
        <v>69</v>
      </c>
      <c r="F15" s="30" t="s">
        <v>128</v>
      </c>
      <c r="G15" s="23" t="s">
        <v>431</v>
      </c>
      <c r="H15" s="23" t="s">
        <v>73</v>
      </c>
      <c r="I15" s="23" t="s">
        <v>151</v>
      </c>
      <c r="J15" s="23" t="s">
        <v>86</v>
      </c>
      <c r="K15" s="23" t="s">
        <v>106</v>
      </c>
      <c r="L15" s="23" t="s">
        <v>106</v>
      </c>
      <c r="M15" s="23" t="s">
        <v>149</v>
      </c>
      <c r="N15" s="21"/>
      <c r="O15" s="8" t="s">
        <v>305</v>
      </c>
      <c r="P15" s="10" t="s">
        <v>254</v>
      </c>
      <c r="Q15" s="8" t="s">
        <v>128</v>
      </c>
      <c r="R15" s="8" t="s">
        <v>128</v>
      </c>
      <c r="S15" s="8" t="s">
        <v>140</v>
      </c>
      <c r="U15" s="8" t="s">
        <v>308</v>
      </c>
      <c r="V15" s="8" t="s">
        <v>70</v>
      </c>
      <c r="W15" s="8" t="s">
        <v>120</v>
      </c>
      <c r="X15" s="8" t="s">
        <v>66</v>
      </c>
      <c r="Y15" s="8" t="s">
        <v>151</v>
      </c>
    </row>
    <row r="16" spans="1:28">
      <c r="A16" s="7" t="s">
        <v>66</v>
      </c>
      <c r="B16" s="7" t="s">
        <v>68</v>
      </c>
      <c r="C16" s="23" t="s">
        <v>66</v>
      </c>
      <c r="D16" s="23" t="s">
        <v>254</v>
      </c>
      <c r="E16" s="23" t="s">
        <v>151</v>
      </c>
      <c r="F16" s="30" t="s">
        <v>86</v>
      </c>
      <c r="G16" s="23" t="s">
        <v>428</v>
      </c>
      <c r="H16" s="23" t="s">
        <v>74</v>
      </c>
      <c r="I16" s="23" t="s">
        <v>104</v>
      </c>
      <c r="J16" s="23" t="s">
        <v>88</v>
      </c>
      <c r="K16" s="23" t="s">
        <v>311</v>
      </c>
      <c r="L16" s="23" t="s">
        <v>311</v>
      </c>
      <c r="M16" s="23" t="s">
        <v>151</v>
      </c>
      <c r="N16" s="21"/>
      <c r="O16" s="8" t="s">
        <v>41</v>
      </c>
      <c r="P16" s="10" t="s">
        <v>256</v>
      </c>
      <c r="Q16" s="8" t="s">
        <v>86</v>
      </c>
      <c r="R16" s="8" t="s">
        <v>86</v>
      </c>
      <c r="U16" s="11" t="s">
        <v>45</v>
      </c>
      <c r="V16" s="8" t="s">
        <v>64</v>
      </c>
      <c r="X16" s="8" t="s">
        <v>69</v>
      </c>
      <c r="Y16" s="10" t="s">
        <v>104</v>
      </c>
    </row>
    <row r="17" spans="1:25">
      <c r="A17" s="7" t="s">
        <v>67</v>
      </c>
      <c r="B17" s="31" t="s">
        <v>69</v>
      </c>
      <c r="C17" s="23" t="s">
        <v>69</v>
      </c>
      <c r="D17" s="23" t="s">
        <v>256</v>
      </c>
      <c r="E17" s="23" t="s">
        <v>104</v>
      </c>
      <c r="F17" s="30" t="s">
        <v>441</v>
      </c>
      <c r="G17" s="30" t="s">
        <v>86</v>
      </c>
      <c r="H17" s="23" t="s">
        <v>86</v>
      </c>
      <c r="I17" s="30" t="s">
        <v>106</v>
      </c>
      <c r="J17" s="23" t="s">
        <v>76</v>
      </c>
      <c r="K17" s="23"/>
      <c r="L17" s="23"/>
      <c r="M17" s="23" t="s">
        <v>104</v>
      </c>
      <c r="N17" s="21"/>
      <c r="O17" s="8" t="s">
        <v>54</v>
      </c>
      <c r="P17" s="10" t="s">
        <v>258</v>
      </c>
      <c r="Q17" s="8" t="s">
        <v>147</v>
      </c>
      <c r="R17" s="8" t="s">
        <v>147</v>
      </c>
      <c r="S17" s="8" t="s">
        <v>296</v>
      </c>
      <c r="U17" s="10" t="s">
        <v>83</v>
      </c>
      <c r="V17" s="8" t="s">
        <v>301</v>
      </c>
      <c r="W17" s="10" t="s">
        <v>309</v>
      </c>
      <c r="X17" s="10" t="s">
        <v>151</v>
      </c>
      <c r="Y17" s="10" t="s">
        <v>106</v>
      </c>
    </row>
    <row r="18" spans="1:25">
      <c r="A18" s="7" t="s">
        <v>68</v>
      </c>
      <c r="C18" s="23" t="s">
        <v>151</v>
      </c>
      <c r="D18" s="23" t="s">
        <v>258</v>
      </c>
      <c r="E18" s="23" t="s">
        <v>106</v>
      </c>
      <c r="F18" s="28"/>
      <c r="G18" s="9" t="s">
        <v>147</v>
      </c>
      <c r="H18" s="30" t="s">
        <v>88</v>
      </c>
      <c r="I18" s="9" t="s">
        <v>419</v>
      </c>
      <c r="J18" s="28"/>
      <c r="K18" s="23" t="s">
        <v>254</v>
      </c>
      <c r="L18" s="23" t="s">
        <v>254</v>
      </c>
      <c r="M18" s="23" t="s">
        <v>106</v>
      </c>
      <c r="N18" s="21"/>
      <c r="O18" s="8" t="s">
        <v>43</v>
      </c>
      <c r="P18" s="8" t="s">
        <v>73</v>
      </c>
      <c r="S18" s="8" t="s">
        <v>298</v>
      </c>
      <c r="U18" s="8" t="s">
        <v>56</v>
      </c>
      <c r="V18" s="8" t="s">
        <v>59</v>
      </c>
      <c r="W18" s="8" t="s">
        <v>310</v>
      </c>
      <c r="X18" s="11" t="s">
        <v>104</v>
      </c>
      <c r="Y18" s="8" t="s">
        <v>311</v>
      </c>
    </row>
    <row r="19" spans="1:25">
      <c r="A19" s="7" t="s">
        <v>69</v>
      </c>
      <c r="B19" s="7" t="s">
        <v>37</v>
      </c>
      <c r="C19" s="23" t="s">
        <v>104</v>
      </c>
      <c r="D19" s="23" t="s">
        <v>73</v>
      </c>
      <c r="E19" s="23" t="s">
        <v>311</v>
      </c>
      <c r="F19" s="23" t="s">
        <v>296</v>
      </c>
      <c r="G19" s="29"/>
      <c r="H19" s="30" t="s">
        <v>76</v>
      </c>
      <c r="I19" s="28"/>
      <c r="J19" s="23" t="s">
        <v>303</v>
      </c>
      <c r="K19" s="23" t="s">
        <v>256</v>
      </c>
      <c r="L19" s="23" t="s">
        <v>256</v>
      </c>
      <c r="M19" s="23" t="s">
        <v>311</v>
      </c>
      <c r="N19" s="21"/>
      <c r="O19" s="8" t="s">
        <v>47</v>
      </c>
      <c r="P19" s="8" t="s">
        <v>74</v>
      </c>
      <c r="Q19" s="8" t="s">
        <v>303</v>
      </c>
      <c r="R19" s="8" t="s">
        <v>303</v>
      </c>
      <c r="S19" s="8" t="s">
        <v>299</v>
      </c>
      <c r="U19" s="10" t="s">
        <v>40</v>
      </c>
      <c r="V19" s="8" t="s">
        <v>60</v>
      </c>
      <c r="X19" s="10" t="s">
        <v>106</v>
      </c>
    </row>
    <row r="20" spans="1:25">
      <c r="B20" s="7" t="s">
        <v>38</v>
      </c>
      <c r="C20" s="23" t="s">
        <v>106</v>
      </c>
      <c r="D20" s="23" t="s">
        <v>74</v>
      </c>
      <c r="E20" s="28"/>
      <c r="F20" s="23" t="s">
        <v>298</v>
      </c>
      <c r="G20" s="23" t="s">
        <v>296</v>
      </c>
      <c r="H20" s="28"/>
      <c r="I20" s="23" t="s">
        <v>37</v>
      </c>
      <c r="J20" s="23" t="s">
        <v>177</v>
      </c>
      <c r="K20" s="23" t="s">
        <v>258</v>
      </c>
      <c r="L20" s="23" t="s">
        <v>258</v>
      </c>
      <c r="M20" s="26"/>
      <c r="N20" s="21"/>
      <c r="O20" s="8" t="s">
        <v>308</v>
      </c>
      <c r="P20" s="8" t="s">
        <v>86</v>
      </c>
      <c r="Q20" s="8" t="s">
        <v>177</v>
      </c>
      <c r="R20" s="8" t="s">
        <v>177</v>
      </c>
      <c r="S20" s="8" t="s">
        <v>45</v>
      </c>
      <c r="U20" s="10" t="s">
        <v>50</v>
      </c>
      <c r="V20" s="8" t="s">
        <v>61</v>
      </c>
      <c r="W20" s="13" t="s">
        <v>254</v>
      </c>
      <c r="X20" s="10" t="s">
        <v>311</v>
      </c>
      <c r="Y20" s="8" t="s">
        <v>132</v>
      </c>
    </row>
    <row r="21" spans="1:25">
      <c r="A21" s="7" t="s">
        <v>37</v>
      </c>
      <c r="B21" s="9" t="s">
        <v>41</v>
      </c>
      <c r="C21" s="23" t="s">
        <v>311</v>
      </c>
      <c r="D21" s="23" t="s">
        <v>86</v>
      </c>
      <c r="E21" s="30" t="s">
        <v>306</v>
      </c>
      <c r="F21" s="23" t="s">
        <v>299</v>
      </c>
      <c r="G21" s="23" t="s">
        <v>436</v>
      </c>
      <c r="H21" s="23" t="s">
        <v>126</v>
      </c>
      <c r="I21" s="23" t="s">
        <v>38</v>
      </c>
      <c r="J21" s="23" t="s">
        <v>136</v>
      </c>
      <c r="K21" s="23" t="s">
        <v>73</v>
      </c>
      <c r="L21" s="23" t="s">
        <v>73</v>
      </c>
      <c r="M21" s="23" t="s">
        <v>254</v>
      </c>
      <c r="N21" s="21"/>
      <c r="O21" s="10" t="s">
        <v>45</v>
      </c>
      <c r="P21" s="10" t="s">
        <v>88</v>
      </c>
      <c r="Q21" s="8" t="s">
        <v>136</v>
      </c>
      <c r="R21" s="8" t="s">
        <v>136</v>
      </c>
      <c r="S21" s="8" t="s">
        <v>132</v>
      </c>
      <c r="U21" s="10" t="s">
        <v>53</v>
      </c>
      <c r="V21" s="8" t="s">
        <v>62</v>
      </c>
      <c r="W21" s="8" t="s">
        <v>256</v>
      </c>
      <c r="Y21" s="8" t="s">
        <v>113</v>
      </c>
    </row>
    <row r="22" spans="1:25">
      <c r="A22" s="7" t="s">
        <v>38</v>
      </c>
      <c r="B22" s="7" t="s">
        <v>43</v>
      </c>
      <c r="D22" s="23" t="s">
        <v>88</v>
      </c>
      <c r="E22" s="30" t="s">
        <v>446</v>
      </c>
      <c r="F22" s="23" t="s">
        <v>45</v>
      </c>
      <c r="G22" s="23" t="s">
        <v>437</v>
      </c>
      <c r="H22" s="23" t="s">
        <v>428</v>
      </c>
      <c r="I22" s="23" t="s">
        <v>93</v>
      </c>
      <c r="J22" s="23" t="s">
        <v>138</v>
      </c>
      <c r="K22" s="23" t="s">
        <v>74</v>
      </c>
      <c r="L22" s="23" t="s">
        <v>74</v>
      </c>
      <c r="M22" s="23" t="s">
        <v>433</v>
      </c>
      <c r="N22" s="20"/>
      <c r="O22" s="10" t="s">
        <v>83</v>
      </c>
      <c r="P22" s="10" t="s">
        <v>76</v>
      </c>
      <c r="Q22" s="10" t="s">
        <v>138</v>
      </c>
      <c r="R22" s="10" t="s">
        <v>138</v>
      </c>
      <c r="S22" s="8" t="s">
        <v>134</v>
      </c>
      <c r="U22" s="8"/>
      <c r="V22" s="8" t="s">
        <v>67</v>
      </c>
      <c r="W22" s="8" t="s">
        <v>258</v>
      </c>
      <c r="X22" s="8" t="s">
        <v>132</v>
      </c>
      <c r="Y22" s="8" t="s">
        <v>95</v>
      </c>
    </row>
    <row r="23" spans="1:25">
      <c r="A23" s="7" t="s">
        <v>41</v>
      </c>
      <c r="B23" s="7" t="s">
        <v>54</v>
      </c>
      <c r="C23" s="23" t="s">
        <v>422</v>
      </c>
      <c r="D23" s="23" t="s">
        <v>76</v>
      </c>
      <c r="E23" s="23" t="s">
        <v>116</v>
      </c>
      <c r="F23" s="23" t="s">
        <v>132</v>
      </c>
      <c r="G23" s="30" t="s">
        <v>132</v>
      </c>
      <c r="H23" s="23" t="s">
        <v>86</v>
      </c>
      <c r="I23" s="23" t="s">
        <v>302</v>
      </c>
      <c r="J23" s="23" t="s">
        <v>140</v>
      </c>
      <c r="K23" s="23" t="s">
        <v>86</v>
      </c>
      <c r="L23" s="23" t="s">
        <v>86</v>
      </c>
      <c r="M23" s="23" t="s">
        <v>258</v>
      </c>
      <c r="N23" s="21"/>
      <c r="O23" s="8" t="s">
        <v>56</v>
      </c>
      <c r="Q23" s="10" t="s">
        <v>140</v>
      </c>
      <c r="R23" s="10" t="s">
        <v>140</v>
      </c>
      <c r="S23" s="10" t="s">
        <v>159</v>
      </c>
      <c r="U23" s="8" t="s">
        <v>296</v>
      </c>
      <c r="V23" s="8" t="s">
        <v>69</v>
      </c>
      <c r="W23" s="10" t="s">
        <v>73</v>
      </c>
      <c r="X23" s="10" t="s">
        <v>113</v>
      </c>
    </row>
    <row r="24" spans="1:25">
      <c r="A24" s="7" t="s">
        <v>43</v>
      </c>
      <c r="B24" s="7" t="s">
        <v>47</v>
      </c>
      <c r="C24" s="23" t="s">
        <v>177</v>
      </c>
      <c r="E24" s="23" t="s">
        <v>118</v>
      </c>
      <c r="F24" s="23" t="s">
        <v>134</v>
      </c>
      <c r="G24" s="30" t="s">
        <v>134</v>
      </c>
      <c r="H24" s="23" t="s">
        <v>147</v>
      </c>
      <c r="I24" s="23" t="s">
        <v>305</v>
      </c>
      <c r="K24" s="23" t="s">
        <v>88</v>
      </c>
      <c r="L24" s="23" t="s">
        <v>88</v>
      </c>
      <c r="M24" s="23" t="s">
        <v>462</v>
      </c>
      <c r="N24" s="21"/>
      <c r="O24" s="10" t="s">
        <v>40</v>
      </c>
      <c r="P24" s="8" t="s">
        <v>306</v>
      </c>
      <c r="S24" s="10" t="s">
        <v>160</v>
      </c>
      <c r="U24" s="8" t="s">
        <v>298</v>
      </c>
      <c r="V24" s="8" t="s">
        <v>151</v>
      </c>
      <c r="W24" s="8" t="s">
        <v>74</v>
      </c>
      <c r="X24" s="10" t="s">
        <v>95</v>
      </c>
      <c r="Y24" s="8" t="s">
        <v>309</v>
      </c>
    </row>
    <row r="25" spans="1:25">
      <c r="A25" s="7" t="s">
        <v>54</v>
      </c>
      <c r="B25" s="7" t="s">
        <v>55</v>
      </c>
      <c r="C25" s="23" t="s">
        <v>136</v>
      </c>
      <c r="D25" s="23" t="s">
        <v>78</v>
      </c>
      <c r="E25" s="23" t="s">
        <v>120</v>
      </c>
      <c r="F25" s="23" t="s">
        <v>159</v>
      </c>
      <c r="G25" s="23" t="s">
        <v>432</v>
      </c>
      <c r="I25" s="9" t="s">
        <v>41</v>
      </c>
      <c r="J25" s="23" t="s">
        <v>126</v>
      </c>
      <c r="K25" s="23" t="s">
        <v>76</v>
      </c>
      <c r="L25" s="23" t="s">
        <v>76</v>
      </c>
      <c r="M25" s="23" t="s">
        <v>74</v>
      </c>
      <c r="O25" s="10" t="s">
        <v>50</v>
      </c>
      <c r="P25" s="8" t="s">
        <v>307</v>
      </c>
      <c r="Q25" s="8" t="s">
        <v>306</v>
      </c>
      <c r="R25" s="8" t="s">
        <v>306</v>
      </c>
      <c r="U25" s="8" t="s">
        <v>299</v>
      </c>
      <c r="V25" s="8" t="s">
        <v>104</v>
      </c>
      <c r="W25" s="10" t="s">
        <v>86</v>
      </c>
      <c r="Y25" s="8" t="s">
        <v>310</v>
      </c>
    </row>
    <row r="26" spans="1:25">
      <c r="A26" s="7" t="s">
        <v>47</v>
      </c>
      <c r="B26" s="7" t="s">
        <v>56</v>
      </c>
      <c r="C26" s="23" t="s">
        <v>138</v>
      </c>
      <c r="D26" s="23" t="s">
        <v>80</v>
      </c>
      <c r="F26" s="23" t="s">
        <v>160</v>
      </c>
      <c r="G26" s="23" t="s">
        <v>160</v>
      </c>
      <c r="H26" s="23" t="s">
        <v>303</v>
      </c>
      <c r="I26" s="23" t="s">
        <v>43</v>
      </c>
      <c r="J26" s="23" t="s">
        <v>128</v>
      </c>
      <c r="K26" s="23"/>
      <c r="L26" s="23"/>
      <c r="M26" s="23" t="s">
        <v>86</v>
      </c>
      <c r="O26" s="10" t="s">
        <v>53</v>
      </c>
      <c r="P26" s="10" t="s">
        <v>116</v>
      </c>
      <c r="Q26" s="8" t="s">
        <v>307</v>
      </c>
      <c r="R26" s="8" t="s">
        <v>307</v>
      </c>
      <c r="S26" s="8" t="s">
        <v>254</v>
      </c>
      <c r="U26" s="8" t="s">
        <v>45</v>
      </c>
      <c r="V26" s="8" t="s">
        <v>106</v>
      </c>
      <c r="W26" s="10" t="s">
        <v>88</v>
      </c>
      <c r="X26" s="8" t="s">
        <v>309</v>
      </c>
    </row>
    <row r="27" spans="1:25">
      <c r="A27" s="7" t="s">
        <v>55</v>
      </c>
      <c r="B27" s="7" t="s">
        <v>40</v>
      </c>
      <c r="C27" s="23" t="s">
        <v>140</v>
      </c>
      <c r="D27" s="23" t="s">
        <v>70</v>
      </c>
      <c r="E27" s="23" t="s">
        <v>254</v>
      </c>
      <c r="H27" s="23" t="s">
        <v>177</v>
      </c>
      <c r="I27" s="23" t="s">
        <v>47</v>
      </c>
      <c r="J27" s="23" t="s">
        <v>86</v>
      </c>
      <c r="K27" s="23" t="s">
        <v>303</v>
      </c>
      <c r="L27" s="23" t="s">
        <v>303</v>
      </c>
      <c r="M27" s="23" t="s">
        <v>88</v>
      </c>
      <c r="O27" s="10" t="s">
        <v>48</v>
      </c>
      <c r="P27" s="10" t="s">
        <v>118</v>
      </c>
      <c r="Q27" s="8" t="s">
        <v>116</v>
      </c>
      <c r="R27" s="8" t="s">
        <v>116</v>
      </c>
      <c r="S27" s="8" t="s">
        <v>256</v>
      </c>
      <c r="U27" s="8" t="s">
        <v>132</v>
      </c>
      <c r="V27" s="8" t="s">
        <v>311</v>
      </c>
      <c r="W27" s="10" t="s">
        <v>76</v>
      </c>
      <c r="X27" s="8" t="s">
        <v>310</v>
      </c>
      <c r="Y27" s="8" t="s">
        <v>306</v>
      </c>
    </row>
    <row r="28" spans="1:25">
      <c r="A28" s="7" t="s">
        <v>56</v>
      </c>
      <c r="B28" s="7" t="s">
        <v>45</v>
      </c>
      <c r="D28" s="23" t="s">
        <v>64</v>
      </c>
      <c r="E28" s="23" t="s">
        <v>256</v>
      </c>
      <c r="F28" s="23" t="s">
        <v>442</v>
      </c>
      <c r="G28" s="9" t="s">
        <v>254</v>
      </c>
      <c r="H28" s="23" t="s">
        <v>136</v>
      </c>
      <c r="I28" s="23" t="s">
        <v>45</v>
      </c>
      <c r="J28" s="23" t="s">
        <v>147</v>
      </c>
      <c r="K28" s="23" t="s">
        <v>177</v>
      </c>
      <c r="L28" s="23" t="s">
        <v>177</v>
      </c>
      <c r="M28" s="23" t="s">
        <v>76</v>
      </c>
      <c r="O28" s="10" t="s">
        <v>216</v>
      </c>
      <c r="P28" s="10" t="s">
        <v>120</v>
      </c>
      <c r="Q28" s="10" t="s">
        <v>118</v>
      </c>
      <c r="R28" s="10" t="s">
        <v>118</v>
      </c>
      <c r="S28" s="8" t="s">
        <v>258</v>
      </c>
      <c r="U28" s="8" t="s">
        <v>134</v>
      </c>
      <c r="V28" s="8"/>
      <c r="Y28" s="8" t="s">
        <v>307</v>
      </c>
    </row>
    <row r="29" spans="1:25">
      <c r="A29" s="7" t="s">
        <v>40</v>
      </c>
      <c r="B29" s="7" t="s">
        <v>50</v>
      </c>
      <c r="C29" s="23" t="s">
        <v>126</v>
      </c>
      <c r="D29" s="23" t="s">
        <v>301</v>
      </c>
      <c r="E29" s="23" t="s">
        <v>258</v>
      </c>
      <c r="F29" s="23" t="s">
        <v>256</v>
      </c>
      <c r="G29" s="9" t="s">
        <v>433</v>
      </c>
      <c r="H29" s="9" t="s">
        <v>138</v>
      </c>
      <c r="I29" s="23" t="s">
        <v>56</v>
      </c>
      <c r="K29" s="23" t="s">
        <v>136</v>
      </c>
      <c r="L29" s="23" t="s">
        <v>136</v>
      </c>
      <c r="O29" s="10" t="s">
        <v>57</v>
      </c>
      <c r="Q29" s="10" t="s">
        <v>120</v>
      </c>
      <c r="R29" s="10" t="s">
        <v>120</v>
      </c>
      <c r="S29" s="8" t="s">
        <v>73</v>
      </c>
      <c r="U29" s="8" t="s">
        <v>159</v>
      </c>
      <c r="V29" s="8" t="s">
        <v>132</v>
      </c>
      <c r="W29" s="8" t="s">
        <v>296</v>
      </c>
      <c r="X29" s="8" t="s">
        <v>306</v>
      </c>
      <c r="Y29" s="8" t="s">
        <v>116</v>
      </c>
    </row>
    <row r="30" spans="1:25">
      <c r="A30" s="7" t="s">
        <v>45</v>
      </c>
      <c r="B30" s="7" t="s">
        <v>51</v>
      </c>
      <c r="C30" s="23" t="s">
        <v>128</v>
      </c>
      <c r="D30" s="23" t="s">
        <v>59</v>
      </c>
      <c r="E30" s="30" t="s">
        <v>73</v>
      </c>
      <c r="F30" s="23" t="s">
        <v>258</v>
      </c>
      <c r="G30" s="9" t="s">
        <v>258</v>
      </c>
      <c r="H30" s="30" t="s">
        <v>140</v>
      </c>
      <c r="I30" s="9" t="s">
        <v>40</v>
      </c>
      <c r="J30" s="23" t="s">
        <v>78</v>
      </c>
      <c r="K30" s="23" t="s">
        <v>138</v>
      </c>
      <c r="L30" s="23" t="s">
        <v>138</v>
      </c>
      <c r="M30" s="23" t="s">
        <v>126</v>
      </c>
      <c r="O30" s="10" t="s">
        <v>51</v>
      </c>
      <c r="P30" s="8" t="s">
        <v>309</v>
      </c>
      <c r="S30" s="8" t="s">
        <v>74</v>
      </c>
      <c r="U30" s="8" t="s">
        <v>160</v>
      </c>
      <c r="V30" s="8" t="s">
        <v>113</v>
      </c>
      <c r="W30" s="8" t="s">
        <v>298</v>
      </c>
      <c r="X30" s="8" t="s">
        <v>307</v>
      </c>
      <c r="Y30" s="8" t="s">
        <v>118</v>
      </c>
    </row>
    <row r="31" spans="1:25">
      <c r="A31" s="7" t="s">
        <v>50</v>
      </c>
      <c r="B31" s="7" t="s">
        <v>48</v>
      </c>
      <c r="C31" s="23" t="s">
        <v>86</v>
      </c>
      <c r="D31" s="23" t="s">
        <v>60</v>
      </c>
      <c r="E31" s="23" t="s">
        <v>74</v>
      </c>
      <c r="F31" s="30" t="s">
        <v>73</v>
      </c>
      <c r="G31" s="23" t="s">
        <v>73</v>
      </c>
      <c r="I31" s="23" t="s">
        <v>50</v>
      </c>
      <c r="J31" s="23" t="s">
        <v>80</v>
      </c>
      <c r="K31" s="23" t="s">
        <v>140</v>
      </c>
      <c r="L31" s="23" t="s">
        <v>140</v>
      </c>
      <c r="M31" s="23" t="s">
        <v>128</v>
      </c>
      <c r="O31" s="8" t="s">
        <v>312</v>
      </c>
      <c r="P31" s="8" t="s">
        <v>310</v>
      </c>
      <c r="Q31" s="8" t="s">
        <v>309</v>
      </c>
      <c r="R31" s="8" t="s">
        <v>309</v>
      </c>
      <c r="S31" s="8" t="s">
        <v>86</v>
      </c>
      <c r="U31" s="8"/>
      <c r="V31" s="8" t="s">
        <v>95</v>
      </c>
      <c r="W31" s="8" t="s">
        <v>299</v>
      </c>
      <c r="X31" s="10" t="s">
        <v>116</v>
      </c>
      <c r="Y31" s="8" t="s">
        <v>120</v>
      </c>
    </row>
    <row r="32" spans="1:25">
      <c r="A32" s="7" t="s">
        <v>51</v>
      </c>
      <c r="B32" s="7" t="s">
        <v>53</v>
      </c>
      <c r="C32" s="23" t="s">
        <v>147</v>
      </c>
      <c r="D32" s="23" t="s">
        <v>61</v>
      </c>
      <c r="E32" s="23" t="s">
        <v>86</v>
      </c>
      <c r="F32" s="30" t="s">
        <v>74</v>
      </c>
      <c r="G32" s="30" t="s">
        <v>74</v>
      </c>
      <c r="H32" s="30" t="s">
        <v>296</v>
      </c>
      <c r="I32" s="23" t="s">
        <v>53</v>
      </c>
      <c r="J32" s="23" t="s">
        <v>63</v>
      </c>
      <c r="K32" s="23"/>
      <c r="L32" s="23"/>
      <c r="M32" s="23" t="s">
        <v>86</v>
      </c>
      <c r="O32" s="8" t="s">
        <v>313</v>
      </c>
      <c r="Q32" s="8" t="s">
        <v>310</v>
      </c>
      <c r="R32" s="8" t="s">
        <v>310</v>
      </c>
      <c r="S32" s="10" t="s">
        <v>88</v>
      </c>
      <c r="U32" s="8" t="s">
        <v>254</v>
      </c>
      <c r="V32" s="8"/>
      <c r="W32" s="8" t="s">
        <v>45</v>
      </c>
      <c r="X32" s="10" t="s">
        <v>118</v>
      </c>
      <c r="Y32" s="8"/>
    </row>
    <row r="33" spans="1:25">
      <c r="A33" s="7" t="s">
        <v>48</v>
      </c>
      <c r="B33" s="7" t="s">
        <v>57</v>
      </c>
      <c r="D33" s="23" t="s">
        <v>62</v>
      </c>
      <c r="E33" s="23" t="s">
        <v>88</v>
      </c>
      <c r="F33" s="23" t="s">
        <v>86</v>
      </c>
      <c r="G33" s="30" t="s">
        <v>434</v>
      </c>
      <c r="H33" s="30" t="s">
        <v>298</v>
      </c>
      <c r="I33" s="23" t="s">
        <v>48</v>
      </c>
      <c r="J33" s="23" t="s">
        <v>70</v>
      </c>
      <c r="K33" s="23" t="s">
        <v>126</v>
      </c>
      <c r="L33" s="23" t="s">
        <v>126</v>
      </c>
      <c r="M33" s="23" t="s">
        <v>147</v>
      </c>
      <c r="P33" s="8" t="s">
        <v>132</v>
      </c>
      <c r="S33" s="10" t="s">
        <v>76</v>
      </c>
      <c r="U33" s="8" t="s">
        <v>256</v>
      </c>
      <c r="V33" s="8" t="s">
        <v>306</v>
      </c>
      <c r="W33" s="8" t="s">
        <v>132</v>
      </c>
      <c r="X33" s="10" t="s">
        <v>120</v>
      </c>
      <c r="Y33" s="8" t="s">
        <v>254</v>
      </c>
    </row>
    <row r="34" spans="1:25">
      <c r="A34" s="7" t="s">
        <v>53</v>
      </c>
      <c r="B34" s="31" t="s">
        <v>58</v>
      </c>
      <c r="C34" s="23" t="s">
        <v>254</v>
      </c>
      <c r="D34" s="23" t="s">
        <v>67</v>
      </c>
      <c r="E34" s="23" t="s">
        <v>76</v>
      </c>
      <c r="F34" s="23" t="s">
        <v>88</v>
      </c>
      <c r="G34" s="30" t="s">
        <v>88</v>
      </c>
      <c r="H34" s="9" t="s">
        <v>299</v>
      </c>
      <c r="I34" s="23" t="s">
        <v>216</v>
      </c>
      <c r="J34" s="23" t="s">
        <v>64</v>
      </c>
      <c r="K34" s="23" t="s">
        <v>128</v>
      </c>
      <c r="L34" s="23" t="s">
        <v>128</v>
      </c>
      <c r="O34" s="10" t="s">
        <v>126</v>
      </c>
      <c r="P34" s="8" t="s">
        <v>113</v>
      </c>
      <c r="Q34" s="8" t="s">
        <v>132</v>
      </c>
      <c r="R34" s="8" t="s">
        <v>132</v>
      </c>
      <c r="U34" s="8" t="s">
        <v>258</v>
      </c>
      <c r="V34" s="8" t="s">
        <v>307</v>
      </c>
      <c r="W34" s="8" t="s">
        <v>134</v>
      </c>
      <c r="Y34" s="8" t="s">
        <v>256</v>
      </c>
    </row>
    <row r="35" spans="1:25">
      <c r="A35" s="7" t="s">
        <v>52</v>
      </c>
      <c r="B35" s="7" t="s">
        <v>52</v>
      </c>
      <c r="C35" s="23" t="s">
        <v>256</v>
      </c>
      <c r="D35" s="23" t="s">
        <v>69</v>
      </c>
      <c r="F35" s="23" t="s">
        <v>443</v>
      </c>
      <c r="G35" s="23" t="s">
        <v>76</v>
      </c>
      <c r="H35" s="23" t="s">
        <v>45</v>
      </c>
      <c r="I35" s="23" t="s">
        <v>51</v>
      </c>
      <c r="J35" s="23" t="s">
        <v>301</v>
      </c>
      <c r="K35" s="23" t="s">
        <v>86</v>
      </c>
      <c r="L35" s="23" t="s">
        <v>86</v>
      </c>
      <c r="M35" s="23" t="s">
        <v>303</v>
      </c>
      <c r="O35" s="10" t="s">
        <v>128</v>
      </c>
      <c r="P35" s="8" t="s">
        <v>95</v>
      </c>
      <c r="Q35" s="10" t="s">
        <v>113</v>
      </c>
      <c r="R35" s="10" t="s">
        <v>113</v>
      </c>
      <c r="S35" s="8" t="s">
        <v>132</v>
      </c>
      <c r="U35" s="8" t="s">
        <v>73</v>
      </c>
      <c r="V35" s="10" t="s">
        <v>116</v>
      </c>
      <c r="W35" s="8" t="s">
        <v>159</v>
      </c>
      <c r="X35" s="8" t="s">
        <v>254</v>
      </c>
      <c r="Y35" s="8" t="s">
        <v>258</v>
      </c>
    </row>
    <row r="36" spans="1:25">
      <c r="A36" s="7"/>
      <c r="B36" s="31" t="s">
        <v>49</v>
      </c>
      <c r="C36" s="23" t="s">
        <v>258</v>
      </c>
      <c r="D36" s="30" t="s">
        <v>151</v>
      </c>
      <c r="E36" s="23" t="s">
        <v>126</v>
      </c>
      <c r="H36" s="23" t="s">
        <v>132</v>
      </c>
      <c r="J36" s="23" t="s">
        <v>59</v>
      </c>
      <c r="K36" s="23" t="s">
        <v>147</v>
      </c>
      <c r="L36" s="23" t="s">
        <v>147</v>
      </c>
      <c r="M36" s="23" t="s">
        <v>177</v>
      </c>
      <c r="O36" s="10" t="s">
        <v>86</v>
      </c>
      <c r="Q36" s="10" t="s">
        <v>95</v>
      </c>
      <c r="R36" s="10" t="s">
        <v>95</v>
      </c>
      <c r="S36" s="10" t="s">
        <v>113</v>
      </c>
      <c r="U36" s="8" t="s">
        <v>74</v>
      </c>
      <c r="V36" s="10" t="s">
        <v>118</v>
      </c>
      <c r="X36" s="8" t="s">
        <v>256</v>
      </c>
      <c r="Y36" s="10" t="s">
        <v>73</v>
      </c>
    </row>
    <row r="37" spans="1:25">
      <c r="C37" s="23" t="s">
        <v>73</v>
      </c>
      <c r="D37" s="30" t="s">
        <v>104</v>
      </c>
      <c r="E37" s="23" t="s">
        <v>128</v>
      </c>
      <c r="F37" s="23" t="s">
        <v>306</v>
      </c>
      <c r="H37" s="30" t="s">
        <v>134</v>
      </c>
      <c r="I37" s="23" t="s">
        <v>306</v>
      </c>
      <c r="J37" s="23" t="s">
        <v>60</v>
      </c>
      <c r="K37" s="23"/>
      <c r="L37" s="23"/>
      <c r="M37" s="23" t="s">
        <v>136</v>
      </c>
      <c r="P37" s="8" t="s">
        <v>126</v>
      </c>
      <c r="S37" s="10" t="s">
        <v>95</v>
      </c>
      <c r="U37" s="10" t="s">
        <v>86</v>
      </c>
      <c r="V37" s="10" t="s">
        <v>120</v>
      </c>
      <c r="W37" s="8" t="s">
        <v>126</v>
      </c>
      <c r="X37" s="8" t="s">
        <v>258</v>
      </c>
      <c r="Y37" s="10" t="s">
        <v>74</v>
      </c>
    </row>
    <row r="38" spans="1:25">
      <c r="A38" s="7"/>
      <c r="C38" s="23" t="s">
        <v>74</v>
      </c>
      <c r="D38" s="30" t="s">
        <v>106</v>
      </c>
      <c r="E38" s="23" t="s">
        <v>86</v>
      </c>
      <c r="F38" s="23" t="s">
        <v>307</v>
      </c>
      <c r="H38" s="30" t="s">
        <v>159</v>
      </c>
      <c r="I38" s="23" t="s">
        <v>307</v>
      </c>
      <c r="J38" s="23" t="s">
        <v>61</v>
      </c>
      <c r="K38" s="23" t="s">
        <v>132</v>
      </c>
      <c r="L38" s="23" t="s">
        <v>132</v>
      </c>
      <c r="M38" s="23" t="s">
        <v>138</v>
      </c>
      <c r="O38" s="8" t="s">
        <v>303</v>
      </c>
      <c r="P38" s="10" t="s">
        <v>128</v>
      </c>
      <c r="U38" s="10" t="s">
        <v>88</v>
      </c>
      <c r="V38" s="10"/>
      <c r="W38" s="8" t="s">
        <v>128</v>
      </c>
      <c r="X38" s="8" t="s">
        <v>73</v>
      </c>
      <c r="Y38" s="10" t="s">
        <v>86</v>
      </c>
    </row>
    <row r="39" spans="1:25">
      <c r="C39" s="23" t="s">
        <v>86</v>
      </c>
      <c r="D39" s="30" t="s">
        <v>311</v>
      </c>
      <c r="E39" s="23" t="s">
        <v>147</v>
      </c>
      <c r="F39" s="23" t="s">
        <v>444</v>
      </c>
      <c r="H39" s="30" t="s">
        <v>160</v>
      </c>
      <c r="I39" s="23" t="s">
        <v>116</v>
      </c>
      <c r="J39" s="23" t="s">
        <v>62</v>
      </c>
      <c r="K39" s="23" t="s">
        <v>113</v>
      </c>
      <c r="L39" s="23" t="s">
        <v>113</v>
      </c>
      <c r="M39" s="23" t="s">
        <v>140</v>
      </c>
      <c r="O39" s="8" t="s">
        <v>177</v>
      </c>
      <c r="P39" s="10" t="s">
        <v>86</v>
      </c>
      <c r="U39" s="10" t="s">
        <v>76</v>
      </c>
      <c r="V39" s="10" t="s">
        <v>126</v>
      </c>
      <c r="W39" s="10" t="s">
        <v>86</v>
      </c>
      <c r="X39" s="8" t="s">
        <v>74</v>
      </c>
      <c r="Y39" s="10" t="s">
        <v>88</v>
      </c>
    </row>
    <row r="40" spans="1:25">
      <c r="C40" s="23" t="s">
        <v>88</v>
      </c>
      <c r="F40" s="23" t="s">
        <v>445</v>
      </c>
      <c r="I40" s="23" t="s">
        <v>118</v>
      </c>
      <c r="J40" s="23" t="s">
        <v>67</v>
      </c>
      <c r="K40" s="23" t="s">
        <v>95</v>
      </c>
      <c r="L40" s="23" t="s">
        <v>95</v>
      </c>
      <c r="O40" s="10" t="s">
        <v>136</v>
      </c>
      <c r="V40" s="10" t="s">
        <v>128</v>
      </c>
      <c r="W40" s="10" t="s">
        <v>147</v>
      </c>
      <c r="X40" s="8" t="s">
        <v>86</v>
      </c>
      <c r="Y40" s="8" t="s">
        <v>76</v>
      </c>
    </row>
    <row r="41" spans="1:25">
      <c r="C41" s="23" t="s">
        <v>76</v>
      </c>
      <c r="D41" s="23" t="s">
        <v>448</v>
      </c>
      <c r="E41" s="23" t="s">
        <v>303</v>
      </c>
      <c r="F41" s="23" t="s">
        <v>120</v>
      </c>
      <c r="I41" s="23" t="s">
        <v>120</v>
      </c>
      <c r="J41" s="23" t="s">
        <v>69</v>
      </c>
      <c r="K41" s="23"/>
      <c r="L41" s="23"/>
      <c r="M41" s="23" t="s">
        <v>296</v>
      </c>
      <c r="O41" s="10" t="s">
        <v>138</v>
      </c>
      <c r="P41" s="8" t="s">
        <v>303</v>
      </c>
      <c r="U41" s="8" t="s">
        <v>303</v>
      </c>
      <c r="V41" s="10" t="s">
        <v>86</v>
      </c>
      <c r="X41" s="8" t="s">
        <v>88</v>
      </c>
    </row>
    <row r="42" spans="1:25">
      <c r="D42" s="23" t="s">
        <v>449</v>
      </c>
      <c r="E42" s="30" t="s">
        <v>177</v>
      </c>
      <c r="J42" s="23" t="s">
        <v>452</v>
      </c>
      <c r="K42" s="23"/>
      <c r="L42" s="23"/>
      <c r="M42" s="23" t="s">
        <v>298</v>
      </c>
      <c r="O42" s="10" t="s">
        <v>140</v>
      </c>
      <c r="P42" s="8" t="s">
        <v>177</v>
      </c>
      <c r="U42" s="8" t="s">
        <v>177</v>
      </c>
      <c r="V42" s="8"/>
      <c r="W42" s="8" t="s">
        <v>303</v>
      </c>
      <c r="X42" s="8" t="s">
        <v>76</v>
      </c>
      <c r="Y42" s="8" t="s">
        <v>296</v>
      </c>
    </row>
    <row r="43" spans="1:25">
      <c r="E43" s="30" t="s">
        <v>136</v>
      </c>
      <c r="J43" s="23" t="s">
        <v>453</v>
      </c>
      <c r="K43" s="23"/>
      <c r="L43" s="23"/>
      <c r="M43" s="23" t="s">
        <v>299</v>
      </c>
      <c r="P43" s="10" t="s">
        <v>136</v>
      </c>
      <c r="U43" s="10" t="s">
        <v>136</v>
      </c>
      <c r="V43" s="8" t="s">
        <v>296</v>
      </c>
      <c r="W43" s="8" t="s">
        <v>177</v>
      </c>
      <c r="Y43" s="8" t="s">
        <v>298</v>
      </c>
    </row>
    <row r="44" spans="1:25">
      <c r="E44" s="23" t="s">
        <v>138</v>
      </c>
      <c r="J44" s="23" t="s">
        <v>104</v>
      </c>
      <c r="K44" s="23"/>
      <c r="L44" s="23"/>
      <c r="P44" s="10" t="s">
        <v>138</v>
      </c>
      <c r="U44" s="11" t="s">
        <v>138</v>
      </c>
      <c r="V44" s="8" t="s">
        <v>298</v>
      </c>
      <c r="W44" s="10" t="s">
        <v>136</v>
      </c>
      <c r="X44" s="8" t="s">
        <v>296</v>
      </c>
      <c r="Y44" s="8" t="s">
        <v>299</v>
      </c>
    </row>
    <row r="45" spans="1:25">
      <c r="E45" s="23" t="s">
        <v>140</v>
      </c>
      <c r="J45" s="23" t="s">
        <v>106</v>
      </c>
      <c r="K45" s="23"/>
      <c r="L45" s="23"/>
      <c r="P45" s="11" t="s">
        <v>140</v>
      </c>
      <c r="U45" s="10" t="s">
        <v>140</v>
      </c>
      <c r="V45" s="8" t="s">
        <v>299</v>
      </c>
      <c r="W45" s="10" t="s">
        <v>138</v>
      </c>
      <c r="X45" s="8" t="s">
        <v>298</v>
      </c>
      <c r="Y45" s="8" t="s">
        <v>45</v>
      </c>
    </row>
    <row r="46" spans="1:25">
      <c r="J46" s="23" t="s">
        <v>311</v>
      </c>
      <c r="K46" s="23"/>
      <c r="L46" s="23"/>
      <c r="V46" s="10" t="s">
        <v>45</v>
      </c>
      <c r="W46" s="10" t="s">
        <v>140</v>
      </c>
      <c r="X46" s="8" t="s">
        <v>299</v>
      </c>
      <c r="Y46" s="8" t="s">
        <v>132</v>
      </c>
    </row>
    <row r="47" spans="1:25">
      <c r="U47" s="8" t="s">
        <v>132</v>
      </c>
      <c r="V47" s="10" t="s">
        <v>132</v>
      </c>
      <c r="X47" s="8" t="s">
        <v>45</v>
      </c>
      <c r="Y47" s="8" t="s">
        <v>134</v>
      </c>
    </row>
    <row r="48" spans="1:25">
      <c r="U48" s="8" t="s">
        <v>113</v>
      </c>
      <c r="V48" s="10" t="s">
        <v>134</v>
      </c>
      <c r="X48" s="8" t="s">
        <v>132</v>
      </c>
      <c r="Y48" s="8" t="s">
        <v>159</v>
      </c>
    </row>
    <row r="49" spans="21:25">
      <c r="U49" s="8" t="s">
        <v>95</v>
      </c>
      <c r="V49" s="8"/>
      <c r="X49" s="8" t="s">
        <v>134</v>
      </c>
      <c r="Y49" s="8" t="s">
        <v>160</v>
      </c>
    </row>
    <row r="50" spans="21:25">
      <c r="V50" s="8" t="s">
        <v>303</v>
      </c>
      <c r="X50" s="8" t="s">
        <v>159</v>
      </c>
    </row>
    <row r="51" spans="21:25">
      <c r="U51" s="8" t="s">
        <v>291</v>
      </c>
      <c r="V51" s="8" t="s">
        <v>177</v>
      </c>
      <c r="X51" s="8" t="s">
        <v>160</v>
      </c>
      <c r="Y51" s="8" t="s">
        <v>126</v>
      </c>
    </row>
    <row r="52" spans="21:25">
      <c r="V52" s="10" t="s">
        <v>136</v>
      </c>
      <c r="Y52" s="8" t="s">
        <v>128</v>
      </c>
    </row>
    <row r="53" spans="21:25">
      <c r="U53" s="8" t="s">
        <v>272</v>
      </c>
      <c r="V53" s="10" t="s">
        <v>138</v>
      </c>
      <c r="X53" s="8" t="s">
        <v>126</v>
      </c>
      <c r="Y53" s="8" t="s">
        <v>86</v>
      </c>
    </row>
    <row r="54" spans="21:25">
      <c r="U54" s="8" t="s">
        <v>297</v>
      </c>
      <c r="V54" s="10" t="s">
        <v>140</v>
      </c>
      <c r="X54" s="8" t="s">
        <v>128</v>
      </c>
      <c r="Y54" s="8" t="s">
        <v>147</v>
      </c>
    </row>
    <row r="55" spans="21:25">
      <c r="X55" s="8" t="s">
        <v>86</v>
      </c>
    </row>
    <row r="56" spans="21:25">
      <c r="Y56" s="8" t="s">
        <v>303</v>
      </c>
    </row>
    <row r="57" spans="21:25">
      <c r="X57" s="8" t="s">
        <v>303</v>
      </c>
      <c r="Y57" s="8" t="s">
        <v>177</v>
      </c>
    </row>
    <row r="58" spans="21:25">
      <c r="X58" s="8" t="s">
        <v>177</v>
      </c>
      <c r="Y58" s="8" t="s">
        <v>136</v>
      </c>
    </row>
    <row r="59" spans="21:25">
      <c r="X59" s="8" t="s">
        <v>136</v>
      </c>
      <c r="Y59" s="8" t="s">
        <v>138</v>
      </c>
    </row>
    <row r="60" spans="21:25">
      <c r="X60" s="8" t="s">
        <v>138</v>
      </c>
      <c r="Y60" s="8" t="s">
        <v>140</v>
      </c>
    </row>
    <row r="61" spans="21:25">
      <c r="X61" s="8" t="s">
        <v>140</v>
      </c>
    </row>
    <row r="65" spans="20:20">
      <c r="T65" s="8"/>
    </row>
  </sheetData>
  <phoneticPr fontId="9" type="noConversion"/>
  <hyperlinks>
    <hyperlink ref="Q2" r:id="rId1" xr:uid="{00000000-0004-0000-0400-000000000000}"/>
    <hyperlink ref="B2" r:id="rId2" xr:uid="{00000000-0004-0000-0400-000001000000}"/>
    <hyperlink ref="A2" r:id="rId3" xr:uid="{00000000-0004-0000-0400-000002000000}"/>
    <hyperlink ref="C2" r:id="rId4" xr:uid="{CBF4A8A4-91AB-4380-AEE7-DE9A1E8FC3C1}"/>
    <hyperlink ref="D2" r:id="rId5" xr:uid="{8ABF007F-4C1C-4FF6-801C-5213FD38AC3C}"/>
    <hyperlink ref="E2" r:id="rId6" xr:uid="{F59A0E25-F5A3-44A4-9F4B-549D37BC5A55}"/>
    <hyperlink ref="F2" r:id="rId7" xr:uid="{59EC1A59-C827-47E4-A4A5-E027CE90BC5D}"/>
    <hyperlink ref="G2" r:id="rId8" xr:uid="{CB13D85F-B841-49F4-8656-9047E123467C}"/>
    <hyperlink ref="H2" r:id="rId9" xr:uid="{61B8208D-CCFE-48E4-B89C-8EF062063825}"/>
    <hyperlink ref="I2" r:id="rId10" xr:uid="{D4A5CF7F-1B6B-4353-A1A0-47C79B8CE269}"/>
    <hyperlink ref="M2" r:id="rId11" xr:uid="{E2337EEB-38D6-47AB-90F9-89D87881B0D1}"/>
    <hyperlink ref="L2" r:id="rId12" xr:uid="{D6361939-B6A0-4A77-B216-CC319C989414}"/>
    <hyperlink ref="K2" r:id="rId13" xr:uid="{92F0B423-7034-48F7-A21A-C21F4FEC1DDD}"/>
  </hyperlinks>
  <pageMargins left="0.69930555555555596" right="0.69930555555555596" top="0.75" bottom="0.75" header="0.3" footer="0.3"/>
  <pageSetup paperSize="256" orientation="portrait" horizontalDpi="203" verticalDpi="20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28"/>
  <sheetViews>
    <sheetView workbookViewId="0"/>
  </sheetViews>
  <sheetFormatPr defaultColWidth="9" defaultRowHeight="14.25"/>
  <sheetData>
    <row r="1" spans="1:4" ht="15.75">
      <c r="A1" s="1"/>
      <c r="B1" s="1" t="s">
        <v>314</v>
      </c>
      <c r="C1" s="2" t="s">
        <v>315</v>
      </c>
      <c r="D1" s="2" t="s">
        <v>316</v>
      </c>
    </row>
    <row r="2" spans="1:4">
      <c r="A2" s="3">
        <v>44809</v>
      </c>
      <c r="B2" t="s">
        <v>277</v>
      </c>
      <c r="C2" s="4">
        <v>1</v>
      </c>
      <c r="D2" s="4">
        <v>80</v>
      </c>
    </row>
    <row r="3" spans="1:4">
      <c r="B3" t="s">
        <v>287</v>
      </c>
      <c r="C3" s="4"/>
      <c r="D3" s="4">
        <v>70</v>
      </c>
    </row>
    <row r="4" spans="1:4">
      <c r="B4" t="s">
        <v>270</v>
      </c>
      <c r="C4" s="4">
        <v>1</v>
      </c>
      <c r="D4" s="4">
        <v>50</v>
      </c>
    </row>
    <row r="5" spans="1:4">
      <c r="B5" t="s">
        <v>271</v>
      </c>
      <c r="C5" s="4"/>
      <c r="D5" s="4">
        <v>30</v>
      </c>
    </row>
    <row r="6" spans="1:4">
      <c r="C6" s="4"/>
      <c r="D6" s="4"/>
    </row>
    <row r="7" spans="1:4" ht="15.75">
      <c r="A7" s="1"/>
      <c r="B7" s="1" t="s">
        <v>314</v>
      </c>
      <c r="C7" s="2" t="s">
        <v>315</v>
      </c>
      <c r="D7" s="2" t="s">
        <v>316</v>
      </c>
    </row>
    <row r="8" spans="1:4">
      <c r="A8" s="3">
        <v>44810</v>
      </c>
      <c r="B8" t="s">
        <v>277</v>
      </c>
      <c r="C8" s="4">
        <v>3</v>
      </c>
      <c r="D8" s="4">
        <v>200</v>
      </c>
    </row>
    <row r="9" spans="1:4">
      <c r="B9" t="s">
        <v>287</v>
      </c>
      <c r="C9" s="4">
        <v>2</v>
      </c>
      <c r="D9" s="4">
        <v>100</v>
      </c>
    </row>
    <row r="10" spans="1:4">
      <c r="B10" t="s">
        <v>270</v>
      </c>
      <c r="C10" s="4">
        <v>2</v>
      </c>
      <c r="D10" s="4">
        <v>100</v>
      </c>
    </row>
    <row r="11" spans="1:4">
      <c r="B11" t="s">
        <v>271</v>
      </c>
      <c r="C11" s="4">
        <v>1</v>
      </c>
      <c r="D11" s="4">
        <v>30</v>
      </c>
    </row>
    <row r="12" spans="1:4">
      <c r="C12" s="4"/>
      <c r="D12" s="4"/>
    </row>
    <row r="13" spans="1:4" ht="15.75">
      <c r="A13" s="1"/>
      <c r="B13" s="1" t="s">
        <v>314</v>
      </c>
      <c r="C13" s="2" t="s">
        <v>315</v>
      </c>
      <c r="D13" s="2" t="s">
        <v>316</v>
      </c>
    </row>
    <row r="14" spans="1:4">
      <c r="A14" s="3">
        <v>44811</v>
      </c>
      <c r="B14" t="s">
        <v>277</v>
      </c>
      <c r="C14" s="4">
        <v>2</v>
      </c>
      <c r="D14" s="4">
        <v>150</v>
      </c>
    </row>
    <row r="15" spans="1:4">
      <c r="B15" t="s">
        <v>287</v>
      </c>
      <c r="C15" s="4">
        <v>1</v>
      </c>
      <c r="D15" s="4">
        <v>100</v>
      </c>
    </row>
    <row r="16" spans="1:4">
      <c r="C16" s="4"/>
      <c r="D16" s="4"/>
    </row>
    <row r="17" spans="1:4" ht="15.75">
      <c r="A17" s="1"/>
      <c r="B17" s="1" t="s">
        <v>314</v>
      </c>
      <c r="C17" s="2" t="s">
        <v>315</v>
      </c>
      <c r="D17" s="2" t="s">
        <v>316</v>
      </c>
    </row>
    <row r="18" spans="1:4">
      <c r="A18" s="3">
        <v>44812</v>
      </c>
      <c r="B18" t="s">
        <v>277</v>
      </c>
      <c r="C18" s="4"/>
      <c r="D18" s="4">
        <v>100</v>
      </c>
    </row>
    <row r="19" spans="1:4">
      <c r="B19" t="s">
        <v>287</v>
      </c>
      <c r="C19" s="4"/>
      <c r="D19" s="4">
        <v>80</v>
      </c>
    </row>
    <row r="20" spans="1:4">
      <c r="C20" s="4"/>
      <c r="D20" s="4"/>
    </row>
    <row r="21" spans="1:4" ht="15.75">
      <c r="A21" s="1"/>
      <c r="B21" s="1" t="s">
        <v>314</v>
      </c>
      <c r="C21" s="2" t="s">
        <v>315</v>
      </c>
      <c r="D21" s="2" t="s">
        <v>316</v>
      </c>
    </row>
    <row r="22" spans="1:4">
      <c r="A22" s="3">
        <v>44813</v>
      </c>
      <c r="B22" t="s">
        <v>277</v>
      </c>
      <c r="C22" s="4"/>
      <c r="D22" s="4">
        <v>50</v>
      </c>
    </row>
    <row r="23" spans="1:4">
      <c r="B23" t="s">
        <v>287</v>
      </c>
      <c r="C23" s="4"/>
      <c r="D23" s="4">
        <v>50</v>
      </c>
    </row>
    <row r="24" spans="1:4">
      <c r="C24" s="4"/>
      <c r="D24" s="4"/>
    </row>
    <row r="25" spans="1:4" ht="15.75">
      <c r="A25" s="1"/>
      <c r="B25" s="1" t="s">
        <v>314</v>
      </c>
      <c r="C25" s="2" t="s">
        <v>315</v>
      </c>
      <c r="D25" s="2" t="s">
        <v>316</v>
      </c>
    </row>
    <row r="26" spans="1:4">
      <c r="A26" s="3">
        <v>44814</v>
      </c>
      <c r="B26" t="s">
        <v>277</v>
      </c>
      <c r="C26" s="4">
        <v>4</v>
      </c>
      <c r="D26" s="4">
        <v>220</v>
      </c>
    </row>
    <row r="27" spans="1:4">
      <c r="B27" t="s">
        <v>287</v>
      </c>
      <c r="C27" s="4">
        <v>4</v>
      </c>
      <c r="D27" s="4">
        <v>220</v>
      </c>
    </row>
    <row r="28" spans="1:4">
      <c r="B28" t="s">
        <v>270</v>
      </c>
      <c r="C28" s="4">
        <v>2</v>
      </c>
      <c r="D28" s="4">
        <v>110</v>
      </c>
    </row>
  </sheetData>
  <phoneticPr fontId="9" type="noConversion"/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烟灰柱1</vt:lpstr>
      <vt:lpstr>0</vt:lpstr>
      <vt:lpstr>词表</vt:lpstr>
      <vt:lpstr>词表总</vt:lpstr>
      <vt:lpstr>周期单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王勇</dc:creator>
  <cp:lastModifiedBy>dell</cp:lastModifiedBy>
  <dcterms:created xsi:type="dcterms:W3CDTF">2022-10-07T14:06:51Z</dcterms:created>
  <dcterms:modified xsi:type="dcterms:W3CDTF">2023-09-03T05:57:31Z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2052-9.1.0.4472</vt:lpwstr>
  </property>
</Properties>
</file>